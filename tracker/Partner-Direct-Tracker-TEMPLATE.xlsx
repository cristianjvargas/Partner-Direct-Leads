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Reconnect Sprint" sheetId="2" state="visible" r:id="rId2"/>
    <sheet name="Call Log" sheetId="3" state="visible" r:id="rId3"/>
    <sheet name="Referral Log" sheetId="4" state="visible" r:id="rId4"/>
    <sheet name="Objections" sheetId="5" state="visible" r:id="rId5"/>
    <sheet name="Referral Partners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i val="1"/>
      <color rgb="006B6B6B"/>
      <sz val="11"/>
    </font>
    <font>
      <name val="Arial"/>
      <b val="1"/>
      <color rgb="001F4E79"/>
      <sz val="12"/>
    </font>
    <font>
      <name val="Arial"/>
      <color rgb="001A1A1A"/>
      <sz val="10"/>
    </font>
    <font>
      <name val="Arial"/>
      <b val="1"/>
      <i val="1"/>
      <color rgb="001F4E79"/>
      <sz val="10"/>
    </font>
    <font>
      <name val="Arial"/>
      <b val="1"/>
      <color rgb="00FFFFFF"/>
      <sz val="10"/>
    </font>
    <font>
      <name val="Arial"/>
      <i val="1"/>
      <color rgb="006B6B6B"/>
      <sz val="9"/>
    </font>
    <font>
      <name val="Arial"/>
      <b val="1"/>
      <color rgb="001F4E79"/>
      <sz val="18"/>
    </font>
    <font>
      <name val="Arial"/>
      <b val="1"/>
      <color rgb="001A1A1A"/>
      <sz val="10"/>
    </font>
    <font>
      <name val="Arial"/>
      <b val="1"/>
      <color rgb="000000FF"/>
      <sz val="10"/>
    </font>
    <font>
      <name val="Arial"/>
      <b val="1"/>
      <color rgb="001F4E79"/>
      <sz val="13"/>
    </font>
    <font>
      <name val="Arial"/>
      <i val="1"/>
      <color rgb="006B6B6B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DF3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5" borderId="0" pivotButton="0" quotePrefix="0" xfId="0"/>
    <xf numFmtId="0" fontId="4" fillId="4" borderId="0" pivotButton="0" quotePrefix="0" xfId="0"/>
    <xf numFmtId="164" fontId="4" fillId="5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10" fillId="5" borderId="1" pivotButton="0" quotePrefix="0" xfId="0"/>
    <xf numFmtId="0" fontId="7" fillId="0" borderId="0" applyAlignment="1" pivotButton="0" quotePrefix="0" xfId="0">
      <alignment vertical="top" wrapText="1"/>
    </xf>
    <xf numFmtId="0" fontId="4" fillId="0" borderId="1" pivotButton="0" quotePrefix="0" xfId="0"/>
    <xf numFmtId="164" fontId="4" fillId="4" borderId="1" pivotButton="0" quotePrefix="0" xfId="0"/>
    <xf numFmtId="0" fontId="4" fillId="4" borderId="1" pivotButton="0" quotePrefix="0" xfId="0"/>
    <xf numFmtId="0" fontId="11" fillId="0" borderId="0" pivotButton="0" quotePrefix="0" xfId="0"/>
    <xf numFmtId="0" fontId="4" fillId="0" borderId="0" pivotButton="0" quotePrefix="0" xfId="0"/>
    <xf numFmtId="0" fontId="9" fillId="4" borderId="1" applyAlignment="1" pivotButton="0" quotePrefix="0" xfId="0">
      <alignment horizontal="center"/>
    </xf>
    <xf numFmtId="9" fontId="9" fillId="4" borderId="1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Partner Direct — Tracker</t>
        </is>
      </c>
    </row>
    <row r="3">
      <c r="B3" s="2" t="inlineStr">
        <is>
          <t>The log is the job. Everything else follows from it.</t>
        </is>
      </c>
    </row>
    <row r="5">
      <c r="B5" s="3" t="inlineStr">
        <is>
          <t>How this workbook is used</t>
        </is>
      </c>
    </row>
    <row r="6">
      <c r="B6" s="4" t="inlineStr">
        <is>
          <t>Reconnect Sprint — every person you know who owns or runs something that takes cards.</t>
        </is>
      </c>
    </row>
    <row r="7">
      <c r="B7" s="4" t="inlineStr">
        <is>
          <t xml:space="preserve">    Rule 02 says you are probably sitting on 150-300 names. Fill it in one sitting, before you call anyone.</t>
        </is>
      </c>
    </row>
    <row r="8">
      <c r="B8" s="4" t="inlineStr">
        <is>
          <t>Call Log — every conversation, logged the same day. Week one has no exceptions; the habit is the point.</t>
        </is>
      </c>
    </row>
    <row r="9">
      <c r="B9" s="4" t="inlineStr">
        <is>
          <t>Referral Log — every handoff to Jeremy, including the ones that die. Rule 05: track your no's like they're wins.</t>
        </is>
      </c>
    </row>
    <row r="10">
      <c r="B10" s="4" t="inlineStr">
        <is>
          <t>Objections — what you actually hear. Review with Jeremy weekly and find the two you keep hitting.</t>
        </is>
      </c>
    </row>
    <row r="11">
      <c r="B11" s="4" t="inlineStr">
        <is>
          <t>Referral Partners — people who already walk into businesses you cannot reach. Give before you ask.</t>
        </is>
      </c>
    </row>
    <row r="12">
      <c r="B12" s="4" t="inlineStr">
        <is>
          <t>Dashboard — targets vs. actual, pulled automatically from the logs. Set your Week 1 start date there.</t>
        </is>
      </c>
    </row>
    <row r="14">
      <c r="B14" s="3" t="inlineStr">
        <is>
          <t>Colour key</t>
        </is>
      </c>
    </row>
    <row r="15">
      <c r="B15" s="4" t="inlineStr">
        <is>
          <t>Yellow cells are yours to fill in.</t>
        </is>
      </c>
    </row>
    <row r="16">
      <c r="B16" s="4" t="inlineStr">
        <is>
          <t>Blue-grey cells are calculated — don't type over them.</t>
        </is>
      </c>
    </row>
    <row r="17">
      <c r="B17" s="4" t="inlineStr">
        <is>
          <t>Grey italic rows are examples showing the expected format. Delete them once you start.</t>
        </is>
      </c>
    </row>
    <row r="19">
      <c r="B19" s="3" t="inlineStr">
        <is>
          <t>The line</t>
        </is>
      </c>
    </row>
    <row r="20">
      <c r="B20" s="4" t="inlineStr">
        <is>
          <t>"I have a guy who was a client at LIV, he's in payment processing. There's a new program called</t>
        </is>
      </c>
    </row>
    <row r="21">
      <c r="B21" s="4" t="inlineStr">
        <is>
          <t>Partner Direct — they partner customers directly with the processor, cutting out the middleman</t>
        </is>
      </c>
    </row>
    <row r="22">
      <c r="B22" s="4" t="inlineStr">
        <is>
          <t>cost, and rates start at three cents."</t>
        </is>
      </c>
    </row>
    <row r="23">
      <c r="B23" s="4" t="inlineStr"/>
    </row>
    <row r="24">
      <c r="B24" s="4" t="inlineStr">
        <is>
          <t>Then stop talking.</t>
        </is>
      </c>
    </row>
    <row r="25">
      <c r="B25" s="4" t="inlineStr"/>
    </row>
    <row r="26">
      <c r="B26" s="4" t="inlineStr">
        <is>
          <t>Technical question comes back? "I don't know that. Let me introduce you to Jeremy Schauffer."</t>
        </is>
      </c>
    </row>
    <row r="28">
      <c r="B28" s="3" t="inlineStr">
        <is>
          <t>The question that compounds — ask it every time, including the no's</t>
        </is>
      </c>
    </row>
    <row r="29">
      <c r="B29" s="4" t="inlineStr">
        <is>
          <t>"Who else do you know that takes cards?"</t>
        </is>
      </c>
    </row>
    <row r="30">
      <c r="B30" s="4" t="inlineStr"/>
    </row>
    <row r="31">
      <c r="B31" s="4" t="inlineStr">
        <is>
          <t>Log the answer in the Call Log 'Names harvested' column. If Tier 4 stays empty, you aren't asking it.</t>
        </is>
      </c>
    </row>
    <row r="33">
      <c r="B33" s="3" t="inlineStr">
        <is>
          <t>The handoff — same day, every time</t>
        </is>
      </c>
    </row>
    <row r="34">
      <c r="B34" s="4" t="inlineStr">
        <is>
          <t>To Jeremy:   Referral: [Name], [Business], [phone]. [One line on how you know them and what they're running.]</t>
        </is>
      </c>
    </row>
    <row r="35">
      <c r="B35" s="4" t="inlineStr"/>
    </row>
    <row r="36">
      <c r="B36" s="4" t="inlineStr">
        <is>
          <t>To the merchant:   [Name] — sent your info to Jeremy, he'll reach out in the next day or two.</t>
        </is>
      </c>
    </row>
    <row r="37">
      <c r="B37" s="4" t="inlineStr">
        <is>
          <t xml:space="preserve">                   He's the one who actually knows this stuff. Any issues, tell me.</t>
        </is>
      </c>
    </row>
    <row r="38">
      <c r="B38" s="4" t="inlineStr"/>
    </row>
    <row r="39">
      <c r="B39" s="4" t="inlineStr">
        <is>
          <t>The second text is the part most people skip. It's what makes the introduction land.</t>
        </is>
      </c>
    </row>
    <row r="41">
      <c r="B41" s="3" t="inlineStr">
        <is>
          <t>Priority order (Meeting Notes §6, Rule 03)</t>
        </is>
      </c>
    </row>
    <row r="42">
      <c r="B42" s="4" t="inlineStr">
        <is>
          <t>Slam dunk   Authorize.net users — APS is one of only 11 processors directly integrated.</t>
        </is>
      </c>
    </row>
    <row r="43">
      <c r="B43" s="4" t="inlineStr">
        <is>
          <t>Strong      E-commerce, and B2B (level 2/3 interchange optimization is a real edge).</t>
        </is>
      </c>
    </row>
    <row r="44">
      <c r="B44" s="4" t="inlineStr">
        <is>
          <t>Good        Retail. Square and Clover users are worth asking.</t>
        </is>
      </c>
    </row>
    <row r="45">
      <c r="B45" s="4" t="inlineStr">
        <is>
          <t>Hardest     Restaurants, bars, lounges. Great if landed; resistance is about the solution, not the rate.</t>
        </is>
      </c>
    </row>
    <row r="46">
      <c r="B46" s="4" t="inlineStr"/>
    </row>
    <row r="47">
      <c r="B47" s="4" t="inlineStr">
        <is>
          <t>Do not filter. Anyone who processes cards goes to Jeremy. The no's are the training.</t>
        </is>
      </c>
    </row>
    <row r="49">
      <c r="B49" s="3" t="inlineStr">
        <is>
          <t>Don't</t>
        </is>
      </c>
    </row>
    <row r="50">
      <c r="B50" s="4" t="inlineStr">
        <is>
          <t>Don't research gateways and interchange to prepare. Rule 01: knowing too much too fast is the failure mode.</t>
        </is>
      </c>
    </row>
    <row r="51">
      <c r="B51" s="4" t="inlineStr">
        <is>
          <t>Don't post rate numbers or the processor's name before Clay and Jeremy approve.</t>
        </is>
      </c>
    </row>
    <row r="52">
      <c r="B52" s="4" t="inlineStr">
        <is>
          <t>Don't screenshot residual income. Ever.</t>
        </is>
      </c>
    </row>
    <row r="53">
      <c r="B53" s="4" t="inlineStr">
        <is>
          <t>Don't chase. One follow-up — "Did Jeremy ever get you?" — then let it 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24" customWidth="1" min="4" max="4"/>
    <col width="20" customWidth="1" min="5" max="5"/>
    <col width="16" customWidth="1" min="6" max="6"/>
    <col width="26" customWidth="1" min="7" max="7"/>
    <col width="15" customWidth="1" min="8" max="8"/>
    <col width="20" customWidth="1" min="9" max="9"/>
    <col width="24" customWidth="1" min="10" max="10"/>
    <col width="26" customWidth="1" min="11" max="11"/>
    <col width="20" customWidth="1" min="12" max="12"/>
    <col width="13" customWidth="1" min="13" max="13"/>
    <col width="24" customWidth="1" min="14" max="14"/>
    <col width="32" customWidth="1" min="15" max="15"/>
  </cols>
  <sheetData>
    <row r="1" ht="28" customHeight="1">
      <c r="A1" s="5" t="inlineStr">
        <is>
          <t>Every person you know who owns or runs something that takes cards. Rule 02: 150-300 names, built before you make a single call. Column F fills itself from the Segment you pick.</t>
        </is>
      </c>
    </row>
    <row r="2" ht="30" customHeight="1">
      <c r="A2" s="6" t="inlineStr">
        <is>
          <t>Name</t>
        </is>
      </c>
      <c r="B2" s="6" t="inlineStr">
        <is>
          <t>Business</t>
        </is>
      </c>
      <c r="C2" s="6" t="inlineStr">
        <is>
          <t>Their role</t>
        </is>
      </c>
      <c r="D2" s="6" t="inlineStr">
        <is>
          <t>Tier</t>
        </is>
      </c>
      <c r="E2" s="6" t="inlineStr">
        <is>
          <t>Segment</t>
        </is>
      </c>
      <c r="F2" s="6" t="inlineStr">
        <is>
          <t>Priority</t>
        </is>
      </c>
      <c r="G2" s="6" t="inlineStr">
        <is>
          <t>How I know them</t>
        </is>
      </c>
      <c r="H2" s="6" t="inlineStr">
        <is>
          <t>Phone</t>
        </is>
      </c>
      <c r="I2" s="6" t="inlineStr">
        <is>
          <t>IG / LinkedIn</t>
        </is>
      </c>
      <c r="J2" s="6" t="inlineStr">
        <is>
          <t>Website</t>
        </is>
      </c>
      <c r="K2" s="6" t="inlineStr">
        <is>
          <t>What they run (ask, don't research)</t>
        </is>
      </c>
      <c r="L2" s="6" t="inlineStr">
        <is>
          <t>Status</t>
        </is>
      </c>
      <c r="M2" s="6" t="inlineStr">
        <is>
          <t>Last contact</t>
        </is>
      </c>
      <c r="N2" s="6" t="inlineStr">
        <is>
          <t>Next action</t>
        </is>
      </c>
      <c r="O2" s="6" t="inlineStr">
        <is>
          <t>Notes</t>
        </is>
      </c>
    </row>
    <row r="3">
      <c r="A3" s="7" t="inlineStr">
        <is>
          <t>Marco Ruiz</t>
        </is>
      </c>
      <c r="B3" s="7" t="inlineStr">
        <is>
          <t>Ruiz Hospitality Group</t>
        </is>
      </c>
      <c r="C3" s="7" t="inlineStr">
        <is>
          <t>Owner</t>
        </is>
      </c>
      <c r="D3" s="7" t="inlineStr">
        <is>
          <t>1 - Would pick up at 10pm</t>
        </is>
      </c>
      <c r="E3" s="7" t="inlineStr">
        <is>
          <t>Restaurant/Bar/Lounge</t>
        </is>
      </c>
      <c r="F3" s="8">
        <f>IF(E3="","",IF(E3="Authorize.net","1 - Slam dunk",IF(OR(E3="E-commerce",E3="B2B",E3="Vendor"),"2 - Strong",IF(E3="Retail","3 - Good",IF(E3="Restaurant/Bar/Lounge","4 - Hardest","5 - Unknown")))))</f>
        <v/>
      </c>
      <c r="G3" s="7" t="inlineStr">
        <is>
          <t>LIV regular, 4 years</t>
        </is>
      </c>
      <c r="H3" s="7" t="inlineStr">
        <is>
          <t>305-555-0142</t>
        </is>
      </c>
      <c r="I3" s="7" t="inlineStr">
        <is>
          <t>@marcoruiz</t>
        </is>
      </c>
      <c r="J3" s="7" t="inlineStr">
        <is>
          <t>ruizhg.com</t>
        </is>
      </c>
      <c r="K3" s="7" t="inlineStr"/>
      <c r="L3" s="7" t="inlineStr">
        <is>
          <t>Not contacted</t>
        </is>
      </c>
      <c r="M3" s="9" t="inlineStr"/>
      <c r="N3" s="7" t="inlineStr">
        <is>
          <t>Call week 1</t>
        </is>
      </c>
      <c r="O3" s="7" t="inlineStr">
        <is>
          <t>Two venues in Wynwood</t>
        </is>
      </c>
    </row>
    <row r="4">
      <c r="A4" s="10" t="n"/>
      <c r="B4" s="10" t="n"/>
      <c r="C4" s="10" t="n"/>
      <c r="D4" s="10" t="n"/>
      <c r="E4" s="10" t="n"/>
      <c r="F4" s="11">
        <f>IF(E4="","",IF(E4="Authorize.net","1 - Slam dunk",IF(OR(E4="E-commerce",E4="B2B",E4="Vendor"),"2 - Strong",IF(E4="Retail","3 - Good",IF(E4="Restaurant/Bar/Lounge","4 - Hardest","5 - Unknown")))))</f>
        <v/>
      </c>
      <c r="G4" s="10" t="n"/>
      <c r="H4" s="10" t="n"/>
      <c r="I4" s="10" t="n"/>
      <c r="J4" s="10" t="n"/>
      <c r="K4" s="10" t="n"/>
      <c r="L4" s="10" t="n"/>
      <c r="M4" s="12" t="n"/>
      <c r="N4" s="10" t="n"/>
      <c r="O4" s="10" t="n"/>
    </row>
    <row r="5">
      <c r="A5" s="10" t="n"/>
      <c r="B5" s="10" t="n"/>
      <c r="C5" s="10" t="n"/>
      <c r="D5" s="10" t="n"/>
      <c r="E5" s="10" t="n"/>
      <c r="F5" s="11">
        <f>IF(E5="","",IF(E5="Authorize.net","1 - Slam dunk",IF(OR(E5="E-commerce",E5="B2B",E5="Vendor"),"2 - Strong",IF(E5="Retail","3 - Good",IF(E5="Restaurant/Bar/Lounge","4 - Hardest","5 - Unknown")))))</f>
        <v/>
      </c>
      <c r="G5" s="10" t="n"/>
      <c r="H5" s="10" t="n"/>
      <c r="I5" s="10" t="n"/>
      <c r="J5" s="10" t="n"/>
      <c r="K5" s="10" t="n"/>
      <c r="L5" s="10" t="n"/>
      <c r="M5" s="12" t="n"/>
      <c r="N5" s="10" t="n"/>
      <c r="O5" s="10" t="n"/>
    </row>
    <row r="6">
      <c r="A6" s="10" t="n"/>
      <c r="B6" s="10" t="n"/>
      <c r="C6" s="10" t="n"/>
      <c r="D6" s="10" t="n"/>
      <c r="E6" s="10" t="n"/>
      <c r="F6" s="11">
        <f>IF(E6="","",IF(E6="Authorize.net","1 - Slam dunk",IF(OR(E6="E-commerce",E6="B2B",E6="Vendor"),"2 - Strong",IF(E6="Retail","3 - Good",IF(E6="Restaurant/Bar/Lounge","4 - Hardest","5 - Unknown")))))</f>
        <v/>
      </c>
      <c r="G6" s="10" t="n"/>
      <c r="H6" s="10" t="n"/>
      <c r="I6" s="10" t="n"/>
      <c r="J6" s="10" t="n"/>
      <c r="K6" s="10" t="n"/>
      <c r="L6" s="10" t="n"/>
      <c r="M6" s="12" t="n"/>
      <c r="N6" s="10" t="n"/>
      <c r="O6" s="10" t="n"/>
    </row>
    <row r="7">
      <c r="A7" s="10" t="n"/>
      <c r="B7" s="10" t="n"/>
      <c r="C7" s="10" t="n"/>
      <c r="D7" s="10" t="n"/>
      <c r="E7" s="10" t="n"/>
      <c r="F7" s="11">
        <f>IF(E7="","",IF(E7="Authorize.net","1 - Slam dunk",IF(OR(E7="E-commerce",E7="B2B",E7="Vendor"),"2 - Strong",IF(E7="Retail","3 - Good",IF(E7="Restaurant/Bar/Lounge","4 - Hardest","5 - Unknown")))))</f>
        <v/>
      </c>
      <c r="G7" s="10" t="n"/>
      <c r="H7" s="10" t="n"/>
      <c r="I7" s="10" t="n"/>
      <c r="J7" s="10" t="n"/>
      <c r="K7" s="10" t="n"/>
      <c r="L7" s="10" t="n"/>
      <c r="M7" s="12" t="n"/>
      <c r="N7" s="10" t="n"/>
      <c r="O7" s="10" t="n"/>
    </row>
    <row r="8">
      <c r="A8" s="10" t="n"/>
      <c r="B8" s="10" t="n"/>
      <c r="C8" s="10" t="n"/>
      <c r="D8" s="10" t="n"/>
      <c r="E8" s="10" t="n"/>
      <c r="F8" s="11">
        <f>IF(E8="","",IF(E8="Authorize.net","1 - Slam dunk",IF(OR(E8="E-commerce",E8="B2B",E8="Vendor"),"2 - Strong",IF(E8="Retail","3 - Good",IF(E8="Restaurant/Bar/Lounge","4 - Hardest","5 - Unknown")))))</f>
        <v/>
      </c>
      <c r="G8" s="10" t="n"/>
      <c r="H8" s="10" t="n"/>
      <c r="I8" s="10" t="n"/>
      <c r="J8" s="10" t="n"/>
      <c r="K8" s="10" t="n"/>
      <c r="L8" s="10" t="n"/>
      <c r="M8" s="12" t="n"/>
      <c r="N8" s="10" t="n"/>
      <c r="O8" s="10" t="n"/>
    </row>
    <row r="9">
      <c r="A9" s="10" t="n"/>
      <c r="B9" s="10" t="n"/>
      <c r="C9" s="10" t="n"/>
      <c r="D9" s="10" t="n"/>
      <c r="E9" s="10" t="n"/>
      <c r="F9" s="11">
        <f>IF(E9="","",IF(E9="Authorize.net","1 - Slam dunk",IF(OR(E9="E-commerce",E9="B2B",E9="Vendor"),"2 - Strong",IF(E9="Retail","3 - Good",IF(E9="Restaurant/Bar/Lounge","4 - Hardest","5 - Unknown")))))</f>
        <v/>
      </c>
      <c r="G9" s="10" t="n"/>
      <c r="H9" s="10" t="n"/>
      <c r="I9" s="10" t="n"/>
      <c r="J9" s="10" t="n"/>
      <c r="K9" s="10" t="n"/>
      <c r="L9" s="10" t="n"/>
      <c r="M9" s="12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1">
        <f>IF(E10="","",IF(E10="Authorize.net","1 - Slam dunk",IF(OR(E10="E-commerce",E10="B2B",E10="Vendor"),"2 - Strong",IF(E10="Retail","3 - Good",IF(E10="Restaurant/Bar/Lounge","4 - Hardest","5 - Unknown")))))</f>
        <v/>
      </c>
      <c r="G10" s="10" t="n"/>
      <c r="H10" s="10" t="n"/>
      <c r="I10" s="10" t="n"/>
      <c r="J10" s="10" t="n"/>
      <c r="K10" s="10" t="n"/>
      <c r="L10" s="10" t="n"/>
      <c r="M10" s="12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1">
        <f>IF(E11="","",IF(E11="Authorize.net","1 - Slam dunk",IF(OR(E11="E-commerce",E11="B2B",E11="Vendor"),"2 - Strong",IF(E11="Retail","3 - Good",IF(E11="Restaurant/Bar/Lounge","4 - Hardest","5 - Unknown")))))</f>
        <v/>
      </c>
      <c r="G11" s="10" t="n"/>
      <c r="H11" s="10" t="n"/>
      <c r="I11" s="10" t="n"/>
      <c r="J11" s="10" t="n"/>
      <c r="K11" s="10" t="n"/>
      <c r="L11" s="10" t="n"/>
      <c r="M11" s="12" t="n"/>
      <c r="N11" s="10" t="n"/>
      <c r="O11" s="10" t="n"/>
    </row>
    <row r="12">
      <c r="A12" s="10" t="n"/>
      <c r="B12" s="10" t="n"/>
      <c r="C12" s="10" t="n"/>
      <c r="D12" s="10" t="n"/>
      <c r="E12" s="10" t="n"/>
      <c r="F12" s="11">
        <f>IF(E12="","",IF(E12="Authorize.net","1 - Slam dunk",IF(OR(E12="E-commerce",E12="B2B",E12="Vendor"),"2 - Strong",IF(E12="Retail","3 - Good",IF(E12="Restaurant/Bar/Lounge","4 - Hardest","5 - Unknown")))))</f>
        <v/>
      </c>
      <c r="G12" s="10" t="n"/>
      <c r="H12" s="10" t="n"/>
      <c r="I12" s="10" t="n"/>
      <c r="J12" s="10" t="n"/>
      <c r="K12" s="10" t="n"/>
      <c r="L12" s="10" t="n"/>
      <c r="M12" s="12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1">
        <f>IF(E13="","",IF(E13="Authorize.net","1 - Slam dunk",IF(OR(E13="E-commerce",E13="B2B",E13="Vendor"),"2 - Strong",IF(E13="Retail","3 - Good",IF(E13="Restaurant/Bar/Lounge","4 - Hardest","5 - Unknown")))))</f>
        <v/>
      </c>
      <c r="G13" s="10" t="n"/>
      <c r="H13" s="10" t="n"/>
      <c r="I13" s="10" t="n"/>
      <c r="J13" s="10" t="n"/>
      <c r="K13" s="10" t="n"/>
      <c r="L13" s="10" t="n"/>
      <c r="M13" s="12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1">
        <f>IF(E14="","",IF(E14="Authorize.net","1 - Slam dunk",IF(OR(E14="E-commerce",E14="B2B",E14="Vendor"),"2 - Strong",IF(E14="Retail","3 - Good",IF(E14="Restaurant/Bar/Lounge","4 - Hardest","5 - Unknown")))))</f>
        <v/>
      </c>
      <c r="G14" s="10" t="n"/>
      <c r="H14" s="10" t="n"/>
      <c r="I14" s="10" t="n"/>
      <c r="J14" s="10" t="n"/>
      <c r="K14" s="10" t="n"/>
      <c r="L14" s="10" t="n"/>
      <c r="M14" s="12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1">
        <f>IF(E15="","",IF(E15="Authorize.net","1 - Slam dunk",IF(OR(E15="E-commerce",E15="B2B",E15="Vendor"),"2 - Strong",IF(E15="Retail","3 - Good",IF(E15="Restaurant/Bar/Lounge","4 - Hardest","5 - Unknown")))))</f>
        <v/>
      </c>
      <c r="G15" s="10" t="n"/>
      <c r="H15" s="10" t="n"/>
      <c r="I15" s="10" t="n"/>
      <c r="J15" s="10" t="n"/>
      <c r="K15" s="10" t="n"/>
      <c r="L15" s="10" t="n"/>
      <c r="M15" s="12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1">
        <f>IF(E16="","",IF(E16="Authorize.net","1 - Slam dunk",IF(OR(E16="E-commerce",E16="B2B",E16="Vendor"),"2 - Strong",IF(E16="Retail","3 - Good",IF(E16="Restaurant/Bar/Lounge","4 - Hardest","5 - Unknown")))))</f>
        <v/>
      </c>
      <c r="G16" s="10" t="n"/>
      <c r="H16" s="10" t="n"/>
      <c r="I16" s="10" t="n"/>
      <c r="J16" s="10" t="n"/>
      <c r="K16" s="10" t="n"/>
      <c r="L16" s="10" t="n"/>
      <c r="M16" s="12" t="n"/>
      <c r="N16" s="10" t="n"/>
      <c r="O16" s="10" t="n"/>
    </row>
    <row r="17">
      <c r="A17" s="10" t="n"/>
      <c r="B17" s="10" t="n"/>
      <c r="C17" s="10" t="n"/>
      <c r="D17" s="10" t="n"/>
      <c r="E17" s="10" t="n"/>
      <c r="F17" s="11">
        <f>IF(E17="","",IF(E17="Authorize.net","1 - Slam dunk",IF(OR(E17="E-commerce",E17="B2B",E17="Vendor"),"2 - Strong",IF(E17="Retail","3 - Good",IF(E17="Restaurant/Bar/Lounge","4 - Hardest","5 - Unknown")))))</f>
        <v/>
      </c>
      <c r="G17" s="10" t="n"/>
      <c r="H17" s="10" t="n"/>
      <c r="I17" s="10" t="n"/>
      <c r="J17" s="10" t="n"/>
      <c r="K17" s="10" t="n"/>
      <c r="L17" s="10" t="n"/>
      <c r="M17" s="12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1">
        <f>IF(E18="","",IF(E18="Authorize.net","1 - Slam dunk",IF(OR(E18="E-commerce",E18="B2B",E18="Vendor"),"2 - Strong",IF(E18="Retail","3 - Good",IF(E18="Restaurant/Bar/Lounge","4 - Hardest","5 - Unknown")))))</f>
        <v/>
      </c>
      <c r="G18" s="10" t="n"/>
      <c r="H18" s="10" t="n"/>
      <c r="I18" s="10" t="n"/>
      <c r="J18" s="10" t="n"/>
      <c r="K18" s="10" t="n"/>
      <c r="L18" s="10" t="n"/>
      <c r="M18" s="12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1">
        <f>IF(E19="","",IF(E19="Authorize.net","1 - Slam dunk",IF(OR(E19="E-commerce",E19="B2B",E19="Vendor"),"2 - Strong",IF(E19="Retail","3 - Good",IF(E19="Restaurant/Bar/Lounge","4 - Hardest","5 - Unknown")))))</f>
        <v/>
      </c>
      <c r="G19" s="10" t="n"/>
      <c r="H19" s="10" t="n"/>
      <c r="I19" s="10" t="n"/>
      <c r="J19" s="10" t="n"/>
      <c r="K19" s="10" t="n"/>
      <c r="L19" s="10" t="n"/>
      <c r="M19" s="12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1">
        <f>IF(E20="","",IF(E20="Authorize.net","1 - Slam dunk",IF(OR(E20="E-commerce",E20="B2B",E20="Vendor"),"2 - Strong",IF(E20="Retail","3 - Good",IF(E20="Restaurant/Bar/Lounge","4 - Hardest","5 - Unknown")))))</f>
        <v/>
      </c>
      <c r="G20" s="10" t="n"/>
      <c r="H20" s="10" t="n"/>
      <c r="I20" s="10" t="n"/>
      <c r="J20" s="10" t="n"/>
      <c r="K20" s="10" t="n"/>
      <c r="L20" s="10" t="n"/>
      <c r="M20" s="12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1">
        <f>IF(E21="","",IF(E21="Authorize.net","1 - Slam dunk",IF(OR(E21="E-commerce",E21="B2B",E21="Vendor"),"2 - Strong",IF(E21="Retail","3 - Good",IF(E21="Restaurant/Bar/Lounge","4 - Hardest","5 - Unknown")))))</f>
        <v/>
      </c>
      <c r="G21" s="10" t="n"/>
      <c r="H21" s="10" t="n"/>
      <c r="I21" s="10" t="n"/>
      <c r="J21" s="10" t="n"/>
      <c r="K21" s="10" t="n"/>
      <c r="L21" s="10" t="n"/>
      <c r="M21" s="12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1">
        <f>IF(E22="","",IF(E22="Authorize.net","1 - Slam dunk",IF(OR(E22="E-commerce",E22="B2B",E22="Vendor"),"2 - Strong",IF(E22="Retail","3 - Good",IF(E22="Restaurant/Bar/Lounge","4 - Hardest","5 - Unknown")))))</f>
        <v/>
      </c>
      <c r="G22" s="10" t="n"/>
      <c r="H22" s="10" t="n"/>
      <c r="I22" s="10" t="n"/>
      <c r="J22" s="10" t="n"/>
      <c r="K22" s="10" t="n"/>
      <c r="L22" s="10" t="n"/>
      <c r="M22" s="12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1">
        <f>IF(E23="","",IF(E23="Authorize.net","1 - Slam dunk",IF(OR(E23="E-commerce",E23="B2B",E23="Vendor"),"2 - Strong",IF(E23="Retail","3 - Good",IF(E23="Restaurant/Bar/Lounge","4 - Hardest","5 - Unknown")))))</f>
        <v/>
      </c>
      <c r="G23" s="10" t="n"/>
      <c r="H23" s="10" t="n"/>
      <c r="I23" s="10" t="n"/>
      <c r="J23" s="10" t="n"/>
      <c r="K23" s="10" t="n"/>
      <c r="L23" s="10" t="n"/>
      <c r="M23" s="12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1">
        <f>IF(E24="","",IF(E24="Authorize.net","1 - Slam dunk",IF(OR(E24="E-commerce",E24="B2B",E24="Vendor"),"2 - Strong",IF(E24="Retail","3 - Good",IF(E24="Restaurant/Bar/Lounge","4 - Hardest","5 - Unknown")))))</f>
        <v/>
      </c>
      <c r="G24" s="10" t="n"/>
      <c r="H24" s="10" t="n"/>
      <c r="I24" s="10" t="n"/>
      <c r="J24" s="10" t="n"/>
      <c r="K24" s="10" t="n"/>
      <c r="L24" s="10" t="n"/>
      <c r="M24" s="12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1">
        <f>IF(E25="","",IF(E25="Authorize.net","1 - Slam dunk",IF(OR(E25="E-commerce",E25="B2B",E25="Vendor"),"2 - Strong",IF(E25="Retail","3 - Good",IF(E25="Restaurant/Bar/Lounge","4 - Hardest","5 - Unknown")))))</f>
        <v/>
      </c>
      <c r="G25" s="10" t="n"/>
      <c r="H25" s="10" t="n"/>
      <c r="I25" s="10" t="n"/>
      <c r="J25" s="10" t="n"/>
      <c r="K25" s="10" t="n"/>
      <c r="L25" s="10" t="n"/>
      <c r="M25" s="12" t="n"/>
      <c r="N25" s="10" t="n"/>
      <c r="O25" s="10" t="n"/>
    </row>
    <row r="26">
      <c r="A26" s="10" t="n"/>
      <c r="B26" s="10" t="n"/>
      <c r="C26" s="10" t="n"/>
      <c r="D26" s="10" t="n"/>
      <c r="E26" s="10" t="n"/>
      <c r="F26" s="11">
        <f>IF(E26="","",IF(E26="Authorize.net","1 - Slam dunk",IF(OR(E26="E-commerce",E26="B2B",E26="Vendor"),"2 - Strong",IF(E26="Retail","3 - Good",IF(E26="Restaurant/Bar/Lounge","4 - Hardest","5 - Unknown")))))</f>
        <v/>
      </c>
      <c r="G26" s="10" t="n"/>
      <c r="H26" s="10" t="n"/>
      <c r="I26" s="10" t="n"/>
      <c r="J26" s="10" t="n"/>
      <c r="K26" s="10" t="n"/>
      <c r="L26" s="10" t="n"/>
      <c r="M26" s="12" t="n"/>
      <c r="N26" s="10" t="n"/>
      <c r="O26" s="10" t="n"/>
    </row>
    <row r="27">
      <c r="A27" s="10" t="n"/>
      <c r="B27" s="10" t="n"/>
      <c r="C27" s="10" t="n"/>
      <c r="D27" s="10" t="n"/>
      <c r="E27" s="10" t="n"/>
      <c r="F27" s="11">
        <f>IF(E27="","",IF(E27="Authorize.net","1 - Slam dunk",IF(OR(E27="E-commerce",E27="B2B",E27="Vendor"),"2 - Strong",IF(E27="Retail","3 - Good",IF(E27="Restaurant/Bar/Lounge","4 - Hardest","5 - Unknown")))))</f>
        <v/>
      </c>
      <c r="G27" s="10" t="n"/>
      <c r="H27" s="10" t="n"/>
      <c r="I27" s="10" t="n"/>
      <c r="J27" s="10" t="n"/>
      <c r="K27" s="10" t="n"/>
      <c r="L27" s="10" t="n"/>
      <c r="M27" s="12" t="n"/>
      <c r="N27" s="10" t="n"/>
      <c r="O27" s="10" t="n"/>
    </row>
    <row r="28">
      <c r="A28" s="10" t="n"/>
      <c r="B28" s="10" t="n"/>
      <c r="C28" s="10" t="n"/>
      <c r="D28" s="10" t="n"/>
      <c r="E28" s="10" t="n"/>
      <c r="F28" s="11">
        <f>IF(E28="","",IF(E28="Authorize.net","1 - Slam dunk",IF(OR(E28="E-commerce",E28="B2B",E28="Vendor"),"2 - Strong",IF(E28="Retail","3 - Good",IF(E28="Restaurant/Bar/Lounge","4 - Hardest","5 - Unknown")))))</f>
        <v/>
      </c>
      <c r="G28" s="10" t="n"/>
      <c r="H28" s="10" t="n"/>
      <c r="I28" s="10" t="n"/>
      <c r="J28" s="10" t="n"/>
      <c r="K28" s="10" t="n"/>
      <c r="L28" s="10" t="n"/>
      <c r="M28" s="12" t="n"/>
      <c r="N28" s="10" t="n"/>
      <c r="O28" s="10" t="n"/>
    </row>
    <row r="29">
      <c r="A29" s="10" t="n"/>
      <c r="B29" s="10" t="n"/>
      <c r="C29" s="10" t="n"/>
      <c r="D29" s="10" t="n"/>
      <c r="E29" s="10" t="n"/>
      <c r="F29" s="11">
        <f>IF(E29="","",IF(E29="Authorize.net","1 - Slam dunk",IF(OR(E29="E-commerce",E29="B2B",E29="Vendor"),"2 - Strong",IF(E29="Retail","3 - Good",IF(E29="Restaurant/Bar/Lounge","4 - Hardest","5 - Unknown")))))</f>
        <v/>
      </c>
      <c r="G29" s="10" t="n"/>
      <c r="H29" s="10" t="n"/>
      <c r="I29" s="10" t="n"/>
      <c r="J29" s="10" t="n"/>
      <c r="K29" s="10" t="n"/>
      <c r="L29" s="10" t="n"/>
      <c r="M29" s="12" t="n"/>
      <c r="N29" s="10" t="n"/>
      <c r="O29" s="10" t="n"/>
    </row>
    <row r="30">
      <c r="A30" s="10" t="n"/>
      <c r="B30" s="10" t="n"/>
      <c r="C30" s="10" t="n"/>
      <c r="D30" s="10" t="n"/>
      <c r="E30" s="10" t="n"/>
      <c r="F30" s="11">
        <f>IF(E30="","",IF(E30="Authorize.net","1 - Slam dunk",IF(OR(E30="E-commerce",E30="B2B",E30="Vendor"),"2 - Strong",IF(E30="Retail","3 - Good",IF(E30="Restaurant/Bar/Lounge","4 - Hardest","5 - Unknown")))))</f>
        <v/>
      </c>
      <c r="G30" s="10" t="n"/>
      <c r="H30" s="10" t="n"/>
      <c r="I30" s="10" t="n"/>
      <c r="J30" s="10" t="n"/>
      <c r="K30" s="10" t="n"/>
      <c r="L30" s="10" t="n"/>
      <c r="M30" s="12" t="n"/>
      <c r="N30" s="10" t="n"/>
      <c r="O30" s="10" t="n"/>
    </row>
    <row r="31">
      <c r="A31" s="10" t="n"/>
      <c r="B31" s="10" t="n"/>
      <c r="C31" s="10" t="n"/>
      <c r="D31" s="10" t="n"/>
      <c r="E31" s="10" t="n"/>
      <c r="F31" s="11">
        <f>IF(E31="","",IF(E31="Authorize.net","1 - Slam dunk",IF(OR(E31="E-commerce",E31="B2B",E31="Vendor"),"2 - Strong",IF(E31="Retail","3 - Good",IF(E31="Restaurant/Bar/Lounge","4 - Hardest","5 - Unknown")))))</f>
        <v/>
      </c>
      <c r="G31" s="10" t="n"/>
      <c r="H31" s="10" t="n"/>
      <c r="I31" s="10" t="n"/>
      <c r="J31" s="10" t="n"/>
      <c r="K31" s="10" t="n"/>
      <c r="L31" s="10" t="n"/>
      <c r="M31" s="12" t="n"/>
      <c r="N31" s="10" t="n"/>
      <c r="O31" s="10" t="n"/>
    </row>
    <row r="32">
      <c r="A32" s="10" t="n"/>
      <c r="B32" s="10" t="n"/>
      <c r="C32" s="10" t="n"/>
      <c r="D32" s="10" t="n"/>
      <c r="E32" s="10" t="n"/>
      <c r="F32" s="11">
        <f>IF(E32="","",IF(E32="Authorize.net","1 - Slam dunk",IF(OR(E32="E-commerce",E32="B2B",E32="Vendor"),"2 - Strong",IF(E32="Retail","3 - Good",IF(E32="Restaurant/Bar/Lounge","4 - Hardest","5 - Unknown")))))</f>
        <v/>
      </c>
      <c r="G32" s="10" t="n"/>
      <c r="H32" s="10" t="n"/>
      <c r="I32" s="10" t="n"/>
      <c r="J32" s="10" t="n"/>
      <c r="K32" s="10" t="n"/>
      <c r="L32" s="10" t="n"/>
      <c r="M32" s="12" t="n"/>
      <c r="N32" s="10" t="n"/>
      <c r="O32" s="10" t="n"/>
    </row>
    <row r="33">
      <c r="A33" s="10" t="n"/>
      <c r="B33" s="10" t="n"/>
      <c r="C33" s="10" t="n"/>
      <c r="D33" s="10" t="n"/>
      <c r="E33" s="10" t="n"/>
      <c r="F33" s="11">
        <f>IF(E33="","",IF(E33="Authorize.net","1 - Slam dunk",IF(OR(E33="E-commerce",E33="B2B",E33="Vendor"),"2 - Strong",IF(E33="Retail","3 - Good",IF(E33="Restaurant/Bar/Lounge","4 - Hardest","5 - Unknown")))))</f>
        <v/>
      </c>
      <c r="G33" s="10" t="n"/>
      <c r="H33" s="10" t="n"/>
      <c r="I33" s="10" t="n"/>
      <c r="J33" s="10" t="n"/>
      <c r="K33" s="10" t="n"/>
      <c r="L33" s="10" t="n"/>
      <c r="M33" s="12" t="n"/>
      <c r="N33" s="10" t="n"/>
      <c r="O33" s="10" t="n"/>
    </row>
    <row r="34">
      <c r="A34" s="10" t="n"/>
      <c r="B34" s="10" t="n"/>
      <c r="C34" s="10" t="n"/>
      <c r="D34" s="10" t="n"/>
      <c r="E34" s="10" t="n"/>
      <c r="F34" s="11">
        <f>IF(E34="","",IF(E34="Authorize.net","1 - Slam dunk",IF(OR(E34="E-commerce",E34="B2B",E34="Vendor"),"2 - Strong",IF(E34="Retail","3 - Good",IF(E34="Restaurant/Bar/Lounge","4 - Hardest","5 - Unknown")))))</f>
        <v/>
      </c>
      <c r="G34" s="10" t="n"/>
      <c r="H34" s="10" t="n"/>
      <c r="I34" s="10" t="n"/>
      <c r="J34" s="10" t="n"/>
      <c r="K34" s="10" t="n"/>
      <c r="L34" s="10" t="n"/>
      <c r="M34" s="12" t="n"/>
      <c r="N34" s="10" t="n"/>
      <c r="O34" s="10" t="n"/>
    </row>
    <row r="35">
      <c r="A35" s="10" t="n"/>
      <c r="B35" s="10" t="n"/>
      <c r="C35" s="10" t="n"/>
      <c r="D35" s="10" t="n"/>
      <c r="E35" s="10" t="n"/>
      <c r="F35" s="11">
        <f>IF(E35="","",IF(E35="Authorize.net","1 - Slam dunk",IF(OR(E35="E-commerce",E35="B2B",E35="Vendor"),"2 - Strong",IF(E35="Retail","3 - Good",IF(E35="Restaurant/Bar/Lounge","4 - Hardest","5 - Unknown")))))</f>
        <v/>
      </c>
      <c r="G35" s="10" t="n"/>
      <c r="H35" s="10" t="n"/>
      <c r="I35" s="10" t="n"/>
      <c r="J35" s="10" t="n"/>
      <c r="K35" s="10" t="n"/>
      <c r="L35" s="10" t="n"/>
      <c r="M35" s="12" t="n"/>
      <c r="N35" s="10" t="n"/>
      <c r="O35" s="10" t="n"/>
    </row>
    <row r="36">
      <c r="A36" s="10" t="n"/>
      <c r="B36" s="10" t="n"/>
      <c r="C36" s="10" t="n"/>
      <c r="D36" s="10" t="n"/>
      <c r="E36" s="10" t="n"/>
      <c r="F36" s="11">
        <f>IF(E36="","",IF(E36="Authorize.net","1 - Slam dunk",IF(OR(E36="E-commerce",E36="B2B",E36="Vendor"),"2 - Strong",IF(E36="Retail","3 - Good",IF(E36="Restaurant/Bar/Lounge","4 - Hardest","5 - Unknown")))))</f>
        <v/>
      </c>
      <c r="G36" s="10" t="n"/>
      <c r="H36" s="10" t="n"/>
      <c r="I36" s="10" t="n"/>
      <c r="J36" s="10" t="n"/>
      <c r="K36" s="10" t="n"/>
      <c r="L36" s="10" t="n"/>
      <c r="M36" s="12" t="n"/>
      <c r="N36" s="10" t="n"/>
      <c r="O36" s="10" t="n"/>
    </row>
    <row r="37">
      <c r="A37" s="10" t="n"/>
      <c r="B37" s="10" t="n"/>
      <c r="C37" s="10" t="n"/>
      <c r="D37" s="10" t="n"/>
      <c r="E37" s="10" t="n"/>
      <c r="F37" s="11">
        <f>IF(E37="","",IF(E37="Authorize.net","1 - Slam dunk",IF(OR(E37="E-commerce",E37="B2B",E37="Vendor"),"2 - Strong",IF(E37="Retail","3 - Good",IF(E37="Restaurant/Bar/Lounge","4 - Hardest","5 - Unknown")))))</f>
        <v/>
      </c>
      <c r="G37" s="10" t="n"/>
      <c r="H37" s="10" t="n"/>
      <c r="I37" s="10" t="n"/>
      <c r="J37" s="10" t="n"/>
      <c r="K37" s="10" t="n"/>
      <c r="L37" s="10" t="n"/>
      <c r="M37" s="12" t="n"/>
      <c r="N37" s="10" t="n"/>
      <c r="O37" s="10" t="n"/>
    </row>
    <row r="38">
      <c r="A38" s="10" t="n"/>
      <c r="B38" s="10" t="n"/>
      <c r="C38" s="10" t="n"/>
      <c r="D38" s="10" t="n"/>
      <c r="E38" s="10" t="n"/>
      <c r="F38" s="11">
        <f>IF(E38="","",IF(E38="Authorize.net","1 - Slam dunk",IF(OR(E38="E-commerce",E38="B2B",E38="Vendor"),"2 - Strong",IF(E38="Retail","3 - Good",IF(E38="Restaurant/Bar/Lounge","4 - Hardest","5 - Unknown")))))</f>
        <v/>
      </c>
      <c r="G38" s="10" t="n"/>
      <c r="H38" s="10" t="n"/>
      <c r="I38" s="10" t="n"/>
      <c r="J38" s="10" t="n"/>
      <c r="K38" s="10" t="n"/>
      <c r="L38" s="10" t="n"/>
      <c r="M38" s="12" t="n"/>
      <c r="N38" s="10" t="n"/>
      <c r="O38" s="10" t="n"/>
    </row>
    <row r="39">
      <c r="A39" s="10" t="n"/>
      <c r="B39" s="10" t="n"/>
      <c r="C39" s="10" t="n"/>
      <c r="D39" s="10" t="n"/>
      <c r="E39" s="10" t="n"/>
      <c r="F39" s="11">
        <f>IF(E39="","",IF(E39="Authorize.net","1 - Slam dunk",IF(OR(E39="E-commerce",E39="B2B",E39="Vendor"),"2 - Strong",IF(E39="Retail","3 - Good",IF(E39="Restaurant/Bar/Lounge","4 - Hardest","5 - Unknown")))))</f>
        <v/>
      </c>
      <c r="G39" s="10" t="n"/>
      <c r="H39" s="10" t="n"/>
      <c r="I39" s="10" t="n"/>
      <c r="J39" s="10" t="n"/>
      <c r="K39" s="10" t="n"/>
      <c r="L39" s="10" t="n"/>
      <c r="M39" s="12" t="n"/>
      <c r="N39" s="10" t="n"/>
      <c r="O39" s="10" t="n"/>
    </row>
    <row r="40">
      <c r="A40" s="10" t="n"/>
      <c r="B40" s="10" t="n"/>
      <c r="C40" s="10" t="n"/>
      <c r="D40" s="10" t="n"/>
      <c r="E40" s="10" t="n"/>
      <c r="F40" s="11">
        <f>IF(E40="","",IF(E40="Authorize.net","1 - Slam dunk",IF(OR(E40="E-commerce",E40="B2B",E40="Vendor"),"2 - Strong",IF(E40="Retail","3 - Good",IF(E40="Restaurant/Bar/Lounge","4 - Hardest","5 - Unknown")))))</f>
        <v/>
      </c>
      <c r="G40" s="10" t="n"/>
      <c r="H40" s="10" t="n"/>
      <c r="I40" s="10" t="n"/>
      <c r="J40" s="10" t="n"/>
      <c r="K40" s="10" t="n"/>
      <c r="L40" s="10" t="n"/>
      <c r="M40" s="12" t="n"/>
      <c r="N40" s="10" t="n"/>
      <c r="O40" s="10" t="n"/>
    </row>
    <row r="41">
      <c r="A41" s="10" t="n"/>
      <c r="B41" s="10" t="n"/>
      <c r="C41" s="10" t="n"/>
      <c r="D41" s="10" t="n"/>
      <c r="E41" s="10" t="n"/>
      <c r="F41" s="11">
        <f>IF(E41="","",IF(E41="Authorize.net","1 - Slam dunk",IF(OR(E41="E-commerce",E41="B2B",E41="Vendor"),"2 - Strong",IF(E41="Retail","3 - Good",IF(E41="Restaurant/Bar/Lounge","4 - Hardest","5 - Unknown")))))</f>
        <v/>
      </c>
      <c r="G41" s="10" t="n"/>
      <c r="H41" s="10" t="n"/>
      <c r="I41" s="10" t="n"/>
      <c r="J41" s="10" t="n"/>
      <c r="K41" s="10" t="n"/>
      <c r="L41" s="10" t="n"/>
      <c r="M41" s="12" t="n"/>
      <c r="N41" s="10" t="n"/>
      <c r="O41" s="10" t="n"/>
    </row>
    <row r="42">
      <c r="A42" s="10" t="n"/>
      <c r="B42" s="10" t="n"/>
      <c r="C42" s="10" t="n"/>
      <c r="D42" s="10" t="n"/>
      <c r="E42" s="10" t="n"/>
      <c r="F42" s="11">
        <f>IF(E42="","",IF(E42="Authorize.net","1 - Slam dunk",IF(OR(E42="E-commerce",E42="B2B",E42="Vendor"),"2 - Strong",IF(E42="Retail","3 - Good",IF(E42="Restaurant/Bar/Lounge","4 - Hardest","5 - Unknown")))))</f>
        <v/>
      </c>
      <c r="G42" s="10" t="n"/>
      <c r="H42" s="10" t="n"/>
      <c r="I42" s="10" t="n"/>
      <c r="J42" s="10" t="n"/>
      <c r="K42" s="10" t="n"/>
      <c r="L42" s="10" t="n"/>
      <c r="M42" s="12" t="n"/>
      <c r="N42" s="10" t="n"/>
      <c r="O42" s="10" t="n"/>
    </row>
    <row r="43">
      <c r="A43" s="10" t="n"/>
      <c r="B43" s="10" t="n"/>
      <c r="C43" s="10" t="n"/>
      <c r="D43" s="10" t="n"/>
      <c r="E43" s="10" t="n"/>
      <c r="F43" s="11">
        <f>IF(E43="","",IF(E43="Authorize.net","1 - Slam dunk",IF(OR(E43="E-commerce",E43="B2B",E43="Vendor"),"2 - Strong",IF(E43="Retail","3 - Good",IF(E43="Restaurant/Bar/Lounge","4 - Hardest","5 - Unknown")))))</f>
        <v/>
      </c>
      <c r="G43" s="10" t="n"/>
      <c r="H43" s="10" t="n"/>
      <c r="I43" s="10" t="n"/>
      <c r="J43" s="10" t="n"/>
      <c r="K43" s="10" t="n"/>
      <c r="L43" s="10" t="n"/>
      <c r="M43" s="12" t="n"/>
      <c r="N43" s="10" t="n"/>
      <c r="O43" s="10" t="n"/>
    </row>
    <row r="44">
      <c r="A44" s="10" t="n"/>
      <c r="B44" s="10" t="n"/>
      <c r="C44" s="10" t="n"/>
      <c r="D44" s="10" t="n"/>
      <c r="E44" s="10" t="n"/>
      <c r="F44" s="11">
        <f>IF(E44="","",IF(E44="Authorize.net","1 - Slam dunk",IF(OR(E44="E-commerce",E44="B2B",E44="Vendor"),"2 - Strong",IF(E44="Retail","3 - Good",IF(E44="Restaurant/Bar/Lounge","4 - Hardest","5 - Unknown")))))</f>
        <v/>
      </c>
      <c r="G44" s="10" t="n"/>
      <c r="H44" s="10" t="n"/>
      <c r="I44" s="10" t="n"/>
      <c r="J44" s="10" t="n"/>
      <c r="K44" s="10" t="n"/>
      <c r="L44" s="10" t="n"/>
      <c r="M44" s="12" t="n"/>
      <c r="N44" s="10" t="n"/>
      <c r="O44" s="10" t="n"/>
    </row>
    <row r="45">
      <c r="A45" s="10" t="n"/>
      <c r="B45" s="10" t="n"/>
      <c r="C45" s="10" t="n"/>
      <c r="D45" s="10" t="n"/>
      <c r="E45" s="10" t="n"/>
      <c r="F45" s="11">
        <f>IF(E45="","",IF(E45="Authorize.net","1 - Slam dunk",IF(OR(E45="E-commerce",E45="B2B",E45="Vendor"),"2 - Strong",IF(E45="Retail","3 - Good",IF(E45="Restaurant/Bar/Lounge","4 - Hardest","5 - Unknown")))))</f>
        <v/>
      </c>
      <c r="G45" s="10" t="n"/>
      <c r="H45" s="10" t="n"/>
      <c r="I45" s="10" t="n"/>
      <c r="J45" s="10" t="n"/>
      <c r="K45" s="10" t="n"/>
      <c r="L45" s="10" t="n"/>
      <c r="M45" s="12" t="n"/>
      <c r="N45" s="10" t="n"/>
      <c r="O45" s="10" t="n"/>
    </row>
    <row r="46">
      <c r="A46" s="10" t="n"/>
      <c r="B46" s="10" t="n"/>
      <c r="C46" s="10" t="n"/>
      <c r="D46" s="10" t="n"/>
      <c r="E46" s="10" t="n"/>
      <c r="F46" s="11">
        <f>IF(E46="","",IF(E46="Authorize.net","1 - Slam dunk",IF(OR(E46="E-commerce",E46="B2B",E46="Vendor"),"2 - Strong",IF(E46="Retail","3 - Good",IF(E46="Restaurant/Bar/Lounge","4 - Hardest","5 - Unknown")))))</f>
        <v/>
      </c>
      <c r="G46" s="10" t="n"/>
      <c r="H46" s="10" t="n"/>
      <c r="I46" s="10" t="n"/>
      <c r="J46" s="10" t="n"/>
      <c r="K46" s="10" t="n"/>
      <c r="L46" s="10" t="n"/>
      <c r="M46" s="12" t="n"/>
      <c r="N46" s="10" t="n"/>
      <c r="O46" s="10" t="n"/>
    </row>
    <row r="47">
      <c r="A47" s="10" t="n"/>
      <c r="B47" s="10" t="n"/>
      <c r="C47" s="10" t="n"/>
      <c r="D47" s="10" t="n"/>
      <c r="E47" s="10" t="n"/>
      <c r="F47" s="11">
        <f>IF(E47="","",IF(E47="Authorize.net","1 - Slam dunk",IF(OR(E47="E-commerce",E47="B2B",E47="Vendor"),"2 - Strong",IF(E47="Retail","3 - Good",IF(E47="Restaurant/Bar/Lounge","4 - Hardest","5 - Unknown")))))</f>
        <v/>
      </c>
      <c r="G47" s="10" t="n"/>
      <c r="H47" s="10" t="n"/>
      <c r="I47" s="10" t="n"/>
      <c r="J47" s="10" t="n"/>
      <c r="K47" s="10" t="n"/>
      <c r="L47" s="10" t="n"/>
      <c r="M47" s="12" t="n"/>
      <c r="N47" s="10" t="n"/>
      <c r="O47" s="10" t="n"/>
    </row>
    <row r="48">
      <c r="A48" s="10" t="n"/>
      <c r="B48" s="10" t="n"/>
      <c r="C48" s="10" t="n"/>
      <c r="D48" s="10" t="n"/>
      <c r="E48" s="10" t="n"/>
      <c r="F48" s="11">
        <f>IF(E48="","",IF(E48="Authorize.net","1 - Slam dunk",IF(OR(E48="E-commerce",E48="B2B",E48="Vendor"),"2 - Strong",IF(E48="Retail","3 - Good",IF(E48="Restaurant/Bar/Lounge","4 - Hardest","5 - Unknown")))))</f>
        <v/>
      </c>
      <c r="G48" s="10" t="n"/>
      <c r="H48" s="10" t="n"/>
      <c r="I48" s="10" t="n"/>
      <c r="J48" s="10" t="n"/>
      <c r="K48" s="10" t="n"/>
      <c r="L48" s="10" t="n"/>
      <c r="M48" s="12" t="n"/>
      <c r="N48" s="10" t="n"/>
      <c r="O48" s="10" t="n"/>
    </row>
    <row r="49">
      <c r="A49" s="10" t="n"/>
      <c r="B49" s="10" t="n"/>
      <c r="C49" s="10" t="n"/>
      <c r="D49" s="10" t="n"/>
      <c r="E49" s="10" t="n"/>
      <c r="F49" s="11">
        <f>IF(E49="","",IF(E49="Authorize.net","1 - Slam dunk",IF(OR(E49="E-commerce",E49="B2B",E49="Vendor"),"2 - Strong",IF(E49="Retail","3 - Good",IF(E49="Restaurant/Bar/Lounge","4 - Hardest","5 - Unknown")))))</f>
        <v/>
      </c>
      <c r="G49" s="10" t="n"/>
      <c r="H49" s="10" t="n"/>
      <c r="I49" s="10" t="n"/>
      <c r="J49" s="10" t="n"/>
      <c r="K49" s="10" t="n"/>
      <c r="L49" s="10" t="n"/>
      <c r="M49" s="12" t="n"/>
      <c r="N49" s="10" t="n"/>
      <c r="O49" s="10" t="n"/>
    </row>
    <row r="50">
      <c r="A50" s="10" t="n"/>
      <c r="B50" s="10" t="n"/>
      <c r="C50" s="10" t="n"/>
      <c r="D50" s="10" t="n"/>
      <c r="E50" s="10" t="n"/>
      <c r="F50" s="11">
        <f>IF(E50="","",IF(E50="Authorize.net","1 - Slam dunk",IF(OR(E50="E-commerce",E50="B2B",E50="Vendor"),"2 - Strong",IF(E50="Retail","3 - Good",IF(E50="Restaurant/Bar/Lounge","4 - Hardest","5 - Unknown")))))</f>
        <v/>
      </c>
      <c r="G50" s="10" t="n"/>
      <c r="H50" s="10" t="n"/>
      <c r="I50" s="10" t="n"/>
      <c r="J50" s="10" t="n"/>
      <c r="K50" s="10" t="n"/>
      <c r="L50" s="10" t="n"/>
      <c r="M50" s="12" t="n"/>
      <c r="N50" s="10" t="n"/>
      <c r="O50" s="10" t="n"/>
    </row>
    <row r="51">
      <c r="A51" s="10" t="n"/>
      <c r="B51" s="10" t="n"/>
      <c r="C51" s="10" t="n"/>
      <c r="D51" s="10" t="n"/>
      <c r="E51" s="10" t="n"/>
      <c r="F51" s="11">
        <f>IF(E51="","",IF(E51="Authorize.net","1 - Slam dunk",IF(OR(E51="E-commerce",E51="B2B",E51="Vendor"),"2 - Strong",IF(E51="Retail","3 - Good",IF(E51="Restaurant/Bar/Lounge","4 - Hardest","5 - Unknown")))))</f>
        <v/>
      </c>
      <c r="G51" s="10" t="n"/>
      <c r="H51" s="10" t="n"/>
      <c r="I51" s="10" t="n"/>
      <c r="J51" s="10" t="n"/>
      <c r="K51" s="10" t="n"/>
      <c r="L51" s="10" t="n"/>
      <c r="M51" s="12" t="n"/>
      <c r="N51" s="10" t="n"/>
      <c r="O51" s="10" t="n"/>
    </row>
    <row r="52">
      <c r="A52" s="10" t="n"/>
      <c r="B52" s="10" t="n"/>
      <c r="C52" s="10" t="n"/>
      <c r="D52" s="10" t="n"/>
      <c r="E52" s="10" t="n"/>
      <c r="F52" s="11">
        <f>IF(E52="","",IF(E52="Authorize.net","1 - Slam dunk",IF(OR(E52="E-commerce",E52="B2B",E52="Vendor"),"2 - Strong",IF(E52="Retail","3 - Good",IF(E52="Restaurant/Bar/Lounge","4 - Hardest","5 - Unknown")))))</f>
        <v/>
      </c>
      <c r="G52" s="10" t="n"/>
      <c r="H52" s="10" t="n"/>
      <c r="I52" s="10" t="n"/>
      <c r="J52" s="10" t="n"/>
      <c r="K52" s="10" t="n"/>
      <c r="L52" s="10" t="n"/>
      <c r="M52" s="12" t="n"/>
      <c r="N52" s="10" t="n"/>
      <c r="O52" s="10" t="n"/>
    </row>
    <row r="53">
      <c r="A53" s="10" t="n"/>
      <c r="B53" s="10" t="n"/>
      <c r="C53" s="10" t="n"/>
      <c r="D53" s="10" t="n"/>
      <c r="E53" s="10" t="n"/>
      <c r="F53" s="11">
        <f>IF(E53="","",IF(E53="Authorize.net","1 - Slam dunk",IF(OR(E53="E-commerce",E53="B2B",E53="Vendor"),"2 - Strong",IF(E53="Retail","3 - Good",IF(E53="Restaurant/Bar/Lounge","4 - Hardest","5 - Unknown")))))</f>
        <v/>
      </c>
      <c r="G53" s="10" t="n"/>
      <c r="H53" s="10" t="n"/>
      <c r="I53" s="10" t="n"/>
      <c r="J53" s="10" t="n"/>
      <c r="K53" s="10" t="n"/>
      <c r="L53" s="10" t="n"/>
      <c r="M53" s="12" t="n"/>
      <c r="N53" s="10" t="n"/>
      <c r="O53" s="10" t="n"/>
    </row>
    <row r="54">
      <c r="A54" s="10" t="n"/>
      <c r="B54" s="10" t="n"/>
      <c r="C54" s="10" t="n"/>
      <c r="D54" s="10" t="n"/>
      <c r="E54" s="10" t="n"/>
      <c r="F54" s="11">
        <f>IF(E54="","",IF(E54="Authorize.net","1 - Slam dunk",IF(OR(E54="E-commerce",E54="B2B",E54="Vendor"),"2 - Strong",IF(E54="Retail","3 - Good",IF(E54="Restaurant/Bar/Lounge","4 - Hardest","5 - Unknown")))))</f>
        <v/>
      </c>
      <c r="G54" s="10" t="n"/>
      <c r="H54" s="10" t="n"/>
      <c r="I54" s="10" t="n"/>
      <c r="J54" s="10" t="n"/>
      <c r="K54" s="10" t="n"/>
      <c r="L54" s="10" t="n"/>
      <c r="M54" s="12" t="n"/>
      <c r="N54" s="10" t="n"/>
      <c r="O54" s="10" t="n"/>
    </row>
    <row r="55">
      <c r="A55" s="10" t="n"/>
      <c r="B55" s="10" t="n"/>
      <c r="C55" s="10" t="n"/>
      <c r="D55" s="10" t="n"/>
      <c r="E55" s="10" t="n"/>
      <c r="F55" s="11">
        <f>IF(E55="","",IF(E55="Authorize.net","1 - Slam dunk",IF(OR(E55="E-commerce",E55="B2B",E55="Vendor"),"2 - Strong",IF(E55="Retail","3 - Good",IF(E55="Restaurant/Bar/Lounge","4 - Hardest","5 - Unknown")))))</f>
        <v/>
      </c>
      <c r="G55" s="10" t="n"/>
      <c r="H55" s="10" t="n"/>
      <c r="I55" s="10" t="n"/>
      <c r="J55" s="10" t="n"/>
      <c r="K55" s="10" t="n"/>
      <c r="L55" s="10" t="n"/>
      <c r="M55" s="12" t="n"/>
      <c r="N55" s="10" t="n"/>
      <c r="O55" s="10" t="n"/>
    </row>
    <row r="56">
      <c r="A56" s="10" t="n"/>
      <c r="B56" s="10" t="n"/>
      <c r="C56" s="10" t="n"/>
      <c r="D56" s="10" t="n"/>
      <c r="E56" s="10" t="n"/>
      <c r="F56" s="11">
        <f>IF(E56="","",IF(E56="Authorize.net","1 - Slam dunk",IF(OR(E56="E-commerce",E56="B2B",E56="Vendor"),"2 - Strong",IF(E56="Retail","3 - Good",IF(E56="Restaurant/Bar/Lounge","4 - Hardest","5 - Unknown")))))</f>
        <v/>
      </c>
      <c r="G56" s="10" t="n"/>
      <c r="H56" s="10" t="n"/>
      <c r="I56" s="10" t="n"/>
      <c r="J56" s="10" t="n"/>
      <c r="K56" s="10" t="n"/>
      <c r="L56" s="10" t="n"/>
      <c r="M56" s="12" t="n"/>
      <c r="N56" s="10" t="n"/>
      <c r="O56" s="10" t="n"/>
    </row>
    <row r="57">
      <c r="A57" s="10" t="n"/>
      <c r="B57" s="10" t="n"/>
      <c r="C57" s="10" t="n"/>
      <c r="D57" s="10" t="n"/>
      <c r="E57" s="10" t="n"/>
      <c r="F57" s="11">
        <f>IF(E57="","",IF(E57="Authorize.net","1 - Slam dunk",IF(OR(E57="E-commerce",E57="B2B",E57="Vendor"),"2 - Strong",IF(E57="Retail","3 - Good",IF(E57="Restaurant/Bar/Lounge","4 - Hardest","5 - Unknown")))))</f>
        <v/>
      </c>
      <c r="G57" s="10" t="n"/>
      <c r="H57" s="10" t="n"/>
      <c r="I57" s="10" t="n"/>
      <c r="J57" s="10" t="n"/>
      <c r="K57" s="10" t="n"/>
      <c r="L57" s="10" t="n"/>
      <c r="M57" s="12" t="n"/>
      <c r="N57" s="10" t="n"/>
      <c r="O57" s="10" t="n"/>
    </row>
    <row r="58">
      <c r="A58" s="10" t="n"/>
      <c r="B58" s="10" t="n"/>
      <c r="C58" s="10" t="n"/>
      <c r="D58" s="10" t="n"/>
      <c r="E58" s="10" t="n"/>
      <c r="F58" s="11">
        <f>IF(E58="","",IF(E58="Authorize.net","1 - Slam dunk",IF(OR(E58="E-commerce",E58="B2B",E58="Vendor"),"2 - Strong",IF(E58="Retail","3 - Good",IF(E58="Restaurant/Bar/Lounge","4 - Hardest","5 - Unknown")))))</f>
        <v/>
      </c>
      <c r="G58" s="10" t="n"/>
      <c r="H58" s="10" t="n"/>
      <c r="I58" s="10" t="n"/>
      <c r="J58" s="10" t="n"/>
      <c r="K58" s="10" t="n"/>
      <c r="L58" s="10" t="n"/>
      <c r="M58" s="12" t="n"/>
      <c r="N58" s="10" t="n"/>
      <c r="O58" s="10" t="n"/>
    </row>
    <row r="59">
      <c r="A59" s="10" t="n"/>
      <c r="B59" s="10" t="n"/>
      <c r="C59" s="10" t="n"/>
      <c r="D59" s="10" t="n"/>
      <c r="E59" s="10" t="n"/>
      <c r="F59" s="11">
        <f>IF(E59="","",IF(E59="Authorize.net","1 - Slam dunk",IF(OR(E59="E-commerce",E59="B2B",E59="Vendor"),"2 - Strong",IF(E59="Retail","3 - Good",IF(E59="Restaurant/Bar/Lounge","4 - Hardest","5 - Unknown")))))</f>
        <v/>
      </c>
      <c r="G59" s="10" t="n"/>
      <c r="H59" s="10" t="n"/>
      <c r="I59" s="10" t="n"/>
      <c r="J59" s="10" t="n"/>
      <c r="K59" s="10" t="n"/>
      <c r="L59" s="10" t="n"/>
      <c r="M59" s="12" t="n"/>
      <c r="N59" s="10" t="n"/>
      <c r="O59" s="10" t="n"/>
    </row>
    <row r="60">
      <c r="A60" s="10" t="n"/>
      <c r="B60" s="10" t="n"/>
      <c r="C60" s="10" t="n"/>
      <c r="D60" s="10" t="n"/>
      <c r="E60" s="10" t="n"/>
      <c r="F60" s="11">
        <f>IF(E60="","",IF(E60="Authorize.net","1 - Slam dunk",IF(OR(E60="E-commerce",E60="B2B",E60="Vendor"),"2 - Strong",IF(E60="Retail","3 - Good",IF(E60="Restaurant/Bar/Lounge","4 - Hardest","5 - Unknown")))))</f>
        <v/>
      </c>
      <c r="G60" s="10" t="n"/>
      <c r="H60" s="10" t="n"/>
      <c r="I60" s="10" t="n"/>
      <c r="J60" s="10" t="n"/>
      <c r="K60" s="10" t="n"/>
      <c r="L60" s="10" t="n"/>
      <c r="M60" s="12" t="n"/>
      <c r="N60" s="10" t="n"/>
      <c r="O60" s="10" t="n"/>
    </row>
    <row r="61">
      <c r="A61" s="10" t="n"/>
      <c r="B61" s="10" t="n"/>
      <c r="C61" s="10" t="n"/>
      <c r="D61" s="10" t="n"/>
      <c r="E61" s="10" t="n"/>
      <c r="F61" s="11">
        <f>IF(E61="","",IF(E61="Authorize.net","1 - Slam dunk",IF(OR(E61="E-commerce",E61="B2B",E61="Vendor"),"2 - Strong",IF(E61="Retail","3 - Good",IF(E61="Restaurant/Bar/Lounge","4 - Hardest","5 - Unknown")))))</f>
        <v/>
      </c>
      <c r="G61" s="10" t="n"/>
      <c r="H61" s="10" t="n"/>
      <c r="I61" s="10" t="n"/>
      <c r="J61" s="10" t="n"/>
      <c r="K61" s="10" t="n"/>
      <c r="L61" s="10" t="n"/>
      <c r="M61" s="12" t="n"/>
      <c r="N61" s="10" t="n"/>
      <c r="O61" s="10" t="n"/>
    </row>
    <row r="62">
      <c r="A62" s="10" t="n"/>
      <c r="B62" s="10" t="n"/>
      <c r="C62" s="10" t="n"/>
      <c r="D62" s="10" t="n"/>
      <c r="E62" s="10" t="n"/>
      <c r="F62" s="11">
        <f>IF(E62="","",IF(E62="Authorize.net","1 - Slam dunk",IF(OR(E62="E-commerce",E62="B2B",E62="Vendor"),"2 - Strong",IF(E62="Retail","3 - Good",IF(E62="Restaurant/Bar/Lounge","4 - Hardest","5 - Unknown")))))</f>
        <v/>
      </c>
      <c r="G62" s="10" t="n"/>
      <c r="H62" s="10" t="n"/>
      <c r="I62" s="10" t="n"/>
      <c r="J62" s="10" t="n"/>
      <c r="K62" s="10" t="n"/>
      <c r="L62" s="10" t="n"/>
      <c r="M62" s="12" t="n"/>
      <c r="N62" s="10" t="n"/>
      <c r="O62" s="10" t="n"/>
    </row>
    <row r="63">
      <c r="A63" s="10" t="n"/>
      <c r="B63" s="10" t="n"/>
      <c r="C63" s="10" t="n"/>
      <c r="D63" s="10" t="n"/>
      <c r="E63" s="10" t="n"/>
      <c r="F63" s="11">
        <f>IF(E63="","",IF(E63="Authorize.net","1 - Slam dunk",IF(OR(E63="E-commerce",E63="B2B",E63="Vendor"),"2 - Strong",IF(E63="Retail","3 - Good",IF(E63="Restaurant/Bar/Lounge","4 - Hardest","5 - Unknown")))))</f>
        <v/>
      </c>
      <c r="G63" s="10" t="n"/>
      <c r="H63" s="10" t="n"/>
      <c r="I63" s="10" t="n"/>
      <c r="J63" s="10" t="n"/>
      <c r="K63" s="10" t="n"/>
      <c r="L63" s="10" t="n"/>
      <c r="M63" s="12" t="n"/>
      <c r="N63" s="10" t="n"/>
      <c r="O63" s="10" t="n"/>
    </row>
    <row r="64">
      <c r="A64" s="10" t="n"/>
      <c r="B64" s="10" t="n"/>
      <c r="C64" s="10" t="n"/>
      <c r="D64" s="10" t="n"/>
      <c r="E64" s="10" t="n"/>
      <c r="F64" s="11">
        <f>IF(E64="","",IF(E64="Authorize.net","1 - Slam dunk",IF(OR(E64="E-commerce",E64="B2B",E64="Vendor"),"2 - Strong",IF(E64="Retail","3 - Good",IF(E64="Restaurant/Bar/Lounge","4 - Hardest","5 - Unknown")))))</f>
        <v/>
      </c>
      <c r="G64" s="10" t="n"/>
      <c r="H64" s="10" t="n"/>
      <c r="I64" s="10" t="n"/>
      <c r="J64" s="10" t="n"/>
      <c r="K64" s="10" t="n"/>
      <c r="L64" s="10" t="n"/>
      <c r="M64" s="12" t="n"/>
      <c r="N64" s="10" t="n"/>
      <c r="O64" s="10" t="n"/>
    </row>
    <row r="65">
      <c r="A65" s="10" t="n"/>
      <c r="B65" s="10" t="n"/>
      <c r="C65" s="10" t="n"/>
      <c r="D65" s="10" t="n"/>
      <c r="E65" s="10" t="n"/>
      <c r="F65" s="11">
        <f>IF(E65="","",IF(E65="Authorize.net","1 - Slam dunk",IF(OR(E65="E-commerce",E65="B2B",E65="Vendor"),"2 - Strong",IF(E65="Retail","3 - Good",IF(E65="Restaurant/Bar/Lounge","4 - Hardest","5 - Unknown")))))</f>
        <v/>
      </c>
      <c r="G65" s="10" t="n"/>
      <c r="H65" s="10" t="n"/>
      <c r="I65" s="10" t="n"/>
      <c r="J65" s="10" t="n"/>
      <c r="K65" s="10" t="n"/>
      <c r="L65" s="10" t="n"/>
      <c r="M65" s="12" t="n"/>
      <c r="N65" s="10" t="n"/>
      <c r="O65" s="10" t="n"/>
    </row>
    <row r="66">
      <c r="A66" s="10" t="n"/>
      <c r="B66" s="10" t="n"/>
      <c r="C66" s="10" t="n"/>
      <c r="D66" s="10" t="n"/>
      <c r="E66" s="10" t="n"/>
      <c r="F66" s="11">
        <f>IF(E66="","",IF(E66="Authorize.net","1 - Slam dunk",IF(OR(E66="E-commerce",E66="B2B",E66="Vendor"),"2 - Strong",IF(E66="Retail","3 - Good",IF(E66="Restaurant/Bar/Lounge","4 - Hardest","5 - Unknown")))))</f>
        <v/>
      </c>
      <c r="G66" s="10" t="n"/>
      <c r="H66" s="10" t="n"/>
      <c r="I66" s="10" t="n"/>
      <c r="J66" s="10" t="n"/>
      <c r="K66" s="10" t="n"/>
      <c r="L66" s="10" t="n"/>
      <c r="M66" s="12" t="n"/>
      <c r="N66" s="10" t="n"/>
      <c r="O66" s="10" t="n"/>
    </row>
    <row r="67">
      <c r="A67" s="10" t="n"/>
      <c r="B67" s="10" t="n"/>
      <c r="C67" s="10" t="n"/>
      <c r="D67" s="10" t="n"/>
      <c r="E67" s="10" t="n"/>
      <c r="F67" s="11">
        <f>IF(E67="","",IF(E67="Authorize.net","1 - Slam dunk",IF(OR(E67="E-commerce",E67="B2B",E67="Vendor"),"2 - Strong",IF(E67="Retail","3 - Good",IF(E67="Restaurant/Bar/Lounge","4 - Hardest","5 - Unknown")))))</f>
        <v/>
      </c>
      <c r="G67" s="10" t="n"/>
      <c r="H67" s="10" t="n"/>
      <c r="I67" s="10" t="n"/>
      <c r="J67" s="10" t="n"/>
      <c r="K67" s="10" t="n"/>
      <c r="L67" s="10" t="n"/>
      <c r="M67" s="12" t="n"/>
      <c r="N67" s="10" t="n"/>
      <c r="O67" s="10" t="n"/>
    </row>
    <row r="68">
      <c r="A68" s="10" t="n"/>
      <c r="B68" s="10" t="n"/>
      <c r="C68" s="10" t="n"/>
      <c r="D68" s="10" t="n"/>
      <c r="E68" s="10" t="n"/>
      <c r="F68" s="11">
        <f>IF(E68="","",IF(E68="Authorize.net","1 - Slam dunk",IF(OR(E68="E-commerce",E68="B2B",E68="Vendor"),"2 - Strong",IF(E68="Retail","3 - Good",IF(E68="Restaurant/Bar/Lounge","4 - Hardest","5 - Unknown")))))</f>
        <v/>
      </c>
      <c r="G68" s="10" t="n"/>
      <c r="H68" s="10" t="n"/>
      <c r="I68" s="10" t="n"/>
      <c r="J68" s="10" t="n"/>
      <c r="K68" s="10" t="n"/>
      <c r="L68" s="10" t="n"/>
      <c r="M68" s="12" t="n"/>
      <c r="N68" s="10" t="n"/>
      <c r="O68" s="10" t="n"/>
    </row>
    <row r="69">
      <c r="A69" s="10" t="n"/>
      <c r="B69" s="10" t="n"/>
      <c r="C69" s="10" t="n"/>
      <c r="D69" s="10" t="n"/>
      <c r="E69" s="10" t="n"/>
      <c r="F69" s="11">
        <f>IF(E69="","",IF(E69="Authorize.net","1 - Slam dunk",IF(OR(E69="E-commerce",E69="B2B",E69="Vendor"),"2 - Strong",IF(E69="Retail","3 - Good",IF(E69="Restaurant/Bar/Lounge","4 - Hardest","5 - Unknown")))))</f>
        <v/>
      </c>
      <c r="G69" s="10" t="n"/>
      <c r="H69" s="10" t="n"/>
      <c r="I69" s="10" t="n"/>
      <c r="J69" s="10" t="n"/>
      <c r="K69" s="10" t="n"/>
      <c r="L69" s="10" t="n"/>
      <c r="M69" s="12" t="n"/>
      <c r="N69" s="10" t="n"/>
      <c r="O69" s="10" t="n"/>
    </row>
    <row r="70">
      <c r="A70" s="10" t="n"/>
      <c r="B70" s="10" t="n"/>
      <c r="C70" s="10" t="n"/>
      <c r="D70" s="10" t="n"/>
      <c r="E70" s="10" t="n"/>
      <c r="F70" s="11">
        <f>IF(E70="","",IF(E70="Authorize.net","1 - Slam dunk",IF(OR(E70="E-commerce",E70="B2B",E70="Vendor"),"2 - Strong",IF(E70="Retail","3 - Good",IF(E70="Restaurant/Bar/Lounge","4 - Hardest","5 - Unknown")))))</f>
        <v/>
      </c>
      <c r="G70" s="10" t="n"/>
      <c r="H70" s="10" t="n"/>
      <c r="I70" s="10" t="n"/>
      <c r="J70" s="10" t="n"/>
      <c r="K70" s="10" t="n"/>
      <c r="L70" s="10" t="n"/>
      <c r="M70" s="12" t="n"/>
      <c r="N70" s="10" t="n"/>
      <c r="O70" s="10" t="n"/>
    </row>
    <row r="71">
      <c r="A71" s="10" t="n"/>
      <c r="B71" s="10" t="n"/>
      <c r="C71" s="10" t="n"/>
      <c r="D71" s="10" t="n"/>
      <c r="E71" s="10" t="n"/>
      <c r="F71" s="11">
        <f>IF(E71="","",IF(E71="Authorize.net","1 - Slam dunk",IF(OR(E71="E-commerce",E71="B2B",E71="Vendor"),"2 - Strong",IF(E71="Retail","3 - Good",IF(E71="Restaurant/Bar/Lounge","4 - Hardest","5 - Unknown")))))</f>
        <v/>
      </c>
      <c r="G71" s="10" t="n"/>
      <c r="H71" s="10" t="n"/>
      <c r="I71" s="10" t="n"/>
      <c r="J71" s="10" t="n"/>
      <c r="K71" s="10" t="n"/>
      <c r="L71" s="10" t="n"/>
      <c r="M71" s="12" t="n"/>
      <c r="N71" s="10" t="n"/>
      <c r="O71" s="10" t="n"/>
    </row>
    <row r="72">
      <c r="A72" s="10" t="n"/>
      <c r="B72" s="10" t="n"/>
      <c r="C72" s="10" t="n"/>
      <c r="D72" s="10" t="n"/>
      <c r="E72" s="10" t="n"/>
      <c r="F72" s="11">
        <f>IF(E72="","",IF(E72="Authorize.net","1 - Slam dunk",IF(OR(E72="E-commerce",E72="B2B",E72="Vendor"),"2 - Strong",IF(E72="Retail","3 - Good",IF(E72="Restaurant/Bar/Lounge","4 - Hardest","5 - Unknown")))))</f>
        <v/>
      </c>
      <c r="G72" s="10" t="n"/>
      <c r="H72" s="10" t="n"/>
      <c r="I72" s="10" t="n"/>
      <c r="J72" s="10" t="n"/>
      <c r="K72" s="10" t="n"/>
      <c r="L72" s="10" t="n"/>
      <c r="M72" s="12" t="n"/>
      <c r="N72" s="10" t="n"/>
      <c r="O72" s="10" t="n"/>
    </row>
    <row r="73">
      <c r="A73" s="10" t="n"/>
      <c r="B73" s="10" t="n"/>
      <c r="C73" s="10" t="n"/>
      <c r="D73" s="10" t="n"/>
      <c r="E73" s="10" t="n"/>
      <c r="F73" s="11">
        <f>IF(E73="","",IF(E73="Authorize.net","1 - Slam dunk",IF(OR(E73="E-commerce",E73="B2B",E73="Vendor"),"2 - Strong",IF(E73="Retail","3 - Good",IF(E73="Restaurant/Bar/Lounge","4 - Hardest","5 - Unknown")))))</f>
        <v/>
      </c>
      <c r="G73" s="10" t="n"/>
      <c r="H73" s="10" t="n"/>
      <c r="I73" s="10" t="n"/>
      <c r="J73" s="10" t="n"/>
      <c r="K73" s="10" t="n"/>
      <c r="L73" s="10" t="n"/>
      <c r="M73" s="12" t="n"/>
      <c r="N73" s="10" t="n"/>
      <c r="O73" s="10" t="n"/>
    </row>
    <row r="74">
      <c r="A74" s="10" t="n"/>
      <c r="B74" s="10" t="n"/>
      <c r="C74" s="10" t="n"/>
      <c r="D74" s="10" t="n"/>
      <c r="E74" s="10" t="n"/>
      <c r="F74" s="11">
        <f>IF(E74="","",IF(E74="Authorize.net","1 - Slam dunk",IF(OR(E74="E-commerce",E74="B2B",E74="Vendor"),"2 - Strong",IF(E74="Retail","3 - Good",IF(E74="Restaurant/Bar/Lounge","4 - Hardest","5 - Unknown")))))</f>
        <v/>
      </c>
      <c r="G74" s="10" t="n"/>
      <c r="H74" s="10" t="n"/>
      <c r="I74" s="10" t="n"/>
      <c r="J74" s="10" t="n"/>
      <c r="K74" s="10" t="n"/>
      <c r="L74" s="10" t="n"/>
      <c r="M74" s="12" t="n"/>
      <c r="N74" s="10" t="n"/>
      <c r="O74" s="10" t="n"/>
    </row>
    <row r="75">
      <c r="A75" s="10" t="n"/>
      <c r="B75" s="10" t="n"/>
      <c r="C75" s="10" t="n"/>
      <c r="D75" s="10" t="n"/>
      <c r="E75" s="10" t="n"/>
      <c r="F75" s="11">
        <f>IF(E75="","",IF(E75="Authorize.net","1 - Slam dunk",IF(OR(E75="E-commerce",E75="B2B",E75="Vendor"),"2 - Strong",IF(E75="Retail","3 - Good",IF(E75="Restaurant/Bar/Lounge","4 - Hardest","5 - Unknown")))))</f>
        <v/>
      </c>
      <c r="G75" s="10" t="n"/>
      <c r="H75" s="10" t="n"/>
      <c r="I75" s="10" t="n"/>
      <c r="J75" s="10" t="n"/>
      <c r="K75" s="10" t="n"/>
      <c r="L75" s="10" t="n"/>
      <c r="M75" s="12" t="n"/>
      <c r="N75" s="10" t="n"/>
      <c r="O75" s="10" t="n"/>
    </row>
    <row r="76">
      <c r="A76" s="10" t="n"/>
      <c r="B76" s="10" t="n"/>
      <c r="C76" s="10" t="n"/>
      <c r="D76" s="10" t="n"/>
      <c r="E76" s="10" t="n"/>
      <c r="F76" s="11">
        <f>IF(E76="","",IF(E76="Authorize.net","1 - Slam dunk",IF(OR(E76="E-commerce",E76="B2B",E76="Vendor"),"2 - Strong",IF(E76="Retail","3 - Good",IF(E76="Restaurant/Bar/Lounge","4 - Hardest","5 - Unknown")))))</f>
        <v/>
      </c>
      <c r="G76" s="10" t="n"/>
      <c r="H76" s="10" t="n"/>
      <c r="I76" s="10" t="n"/>
      <c r="J76" s="10" t="n"/>
      <c r="K76" s="10" t="n"/>
      <c r="L76" s="10" t="n"/>
      <c r="M76" s="12" t="n"/>
      <c r="N76" s="10" t="n"/>
      <c r="O76" s="10" t="n"/>
    </row>
    <row r="77">
      <c r="A77" s="10" t="n"/>
      <c r="B77" s="10" t="n"/>
      <c r="C77" s="10" t="n"/>
      <c r="D77" s="10" t="n"/>
      <c r="E77" s="10" t="n"/>
      <c r="F77" s="11">
        <f>IF(E77="","",IF(E77="Authorize.net","1 - Slam dunk",IF(OR(E77="E-commerce",E77="B2B",E77="Vendor"),"2 - Strong",IF(E77="Retail","3 - Good",IF(E77="Restaurant/Bar/Lounge","4 - Hardest","5 - Unknown")))))</f>
        <v/>
      </c>
      <c r="G77" s="10" t="n"/>
      <c r="H77" s="10" t="n"/>
      <c r="I77" s="10" t="n"/>
      <c r="J77" s="10" t="n"/>
      <c r="K77" s="10" t="n"/>
      <c r="L77" s="10" t="n"/>
      <c r="M77" s="12" t="n"/>
      <c r="N77" s="10" t="n"/>
      <c r="O77" s="10" t="n"/>
    </row>
    <row r="78">
      <c r="A78" s="10" t="n"/>
      <c r="B78" s="10" t="n"/>
      <c r="C78" s="10" t="n"/>
      <c r="D78" s="10" t="n"/>
      <c r="E78" s="10" t="n"/>
      <c r="F78" s="11">
        <f>IF(E78="","",IF(E78="Authorize.net","1 - Slam dunk",IF(OR(E78="E-commerce",E78="B2B",E78="Vendor"),"2 - Strong",IF(E78="Retail","3 - Good",IF(E78="Restaurant/Bar/Lounge","4 - Hardest","5 - Unknown")))))</f>
        <v/>
      </c>
      <c r="G78" s="10" t="n"/>
      <c r="H78" s="10" t="n"/>
      <c r="I78" s="10" t="n"/>
      <c r="J78" s="10" t="n"/>
      <c r="K78" s="10" t="n"/>
      <c r="L78" s="10" t="n"/>
      <c r="M78" s="12" t="n"/>
      <c r="N78" s="10" t="n"/>
      <c r="O78" s="10" t="n"/>
    </row>
    <row r="79">
      <c r="A79" s="10" t="n"/>
      <c r="B79" s="10" t="n"/>
      <c r="C79" s="10" t="n"/>
      <c r="D79" s="10" t="n"/>
      <c r="E79" s="10" t="n"/>
      <c r="F79" s="11">
        <f>IF(E79="","",IF(E79="Authorize.net","1 - Slam dunk",IF(OR(E79="E-commerce",E79="B2B",E79="Vendor"),"2 - Strong",IF(E79="Retail","3 - Good",IF(E79="Restaurant/Bar/Lounge","4 - Hardest","5 - Unknown")))))</f>
        <v/>
      </c>
      <c r="G79" s="10" t="n"/>
      <c r="H79" s="10" t="n"/>
      <c r="I79" s="10" t="n"/>
      <c r="J79" s="10" t="n"/>
      <c r="K79" s="10" t="n"/>
      <c r="L79" s="10" t="n"/>
      <c r="M79" s="12" t="n"/>
      <c r="N79" s="10" t="n"/>
      <c r="O79" s="10" t="n"/>
    </row>
    <row r="80">
      <c r="A80" s="10" t="n"/>
      <c r="B80" s="10" t="n"/>
      <c r="C80" s="10" t="n"/>
      <c r="D80" s="10" t="n"/>
      <c r="E80" s="10" t="n"/>
      <c r="F80" s="11">
        <f>IF(E80="","",IF(E80="Authorize.net","1 - Slam dunk",IF(OR(E80="E-commerce",E80="B2B",E80="Vendor"),"2 - Strong",IF(E80="Retail","3 - Good",IF(E80="Restaurant/Bar/Lounge","4 - Hardest","5 - Unknown")))))</f>
        <v/>
      </c>
      <c r="G80" s="10" t="n"/>
      <c r="H80" s="10" t="n"/>
      <c r="I80" s="10" t="n"/>
      <c r="J80" s="10" t="n"/>
      <c r="K80" s="10" t="n"/>
      <c r="L80" s="10" t="n"/>
      <c r="M80" s="12" t="n"/>
      <c r="N80" s="10" t="n"/>
      <c r="O80" s="10" t="n"/>
    </row>
    <row r="81">
      <c r="A81" s="10" t="n"/>
      <c r="B81" s="10" t="n"/>
      <c r="C81" s="10" t="n"/>
      <c r="D81" s="10" t="n"/>
      <c r="E81" s="10" t="n"/>
      <c r="F81" s="11">
        <f>IF(E81="","",IF(E81="Authorize.net","1 - Slam dunk",IF(OR(E81="E-commerce",E81="B2B",E81="Vendor"),"2 - Strong",IF(E81="Retail","3 - Good",IF(E81="Restaurant/Bar/Lounge","4 - Hardest","5 - Unknown")))))</f>
        <v/>
      </c>
      <c r="G81" s="10" t="n"/>
      <c r="H81" s="10" t="n"/>
      <c r="I81" s="10" t="n"/>
      <c r="J81" s="10" t="n"/>
      <c r="K81" s="10" t="n"/>
      <c r="L81" s="10" t="n"/>
      <c r="M81" s="12" t="n"/>
      <c r="N81" s="10" t="n"/>
      <c r="O81" s="10" t="n"/>
    </row>
    <row r="82">
      <c r="A82" s="10" t="n"/>
      <c r="B82" s="10" t="n"/>
      <c r="C82" s="10" t="n"/>
      <c r="D82" s="10" t="n"/>
      <c r="E82" s="10" t="n"/>
      <c r="F82" s="11">
        <f>IF(E82="","",IF(E82="Authorize.net","1 - Slam dunk",IF(OR(E82="E-commerce",E82="B2B",E82="Vendor"),"2 - Strong",IF(E82="Retail","3 - Good",IF(E82="Restaurant/Bar/Lounge","4 - Hardest","5 - Unknown")))))</f>
        <v/>
      </c>
      <c r="G82" s="10" t="n"/>
      <c r="H82" s="10" t="n"/>
      <c r="I82" s="10" t="n"/>
      <c r="J82" s="10" t="n"/>
      <c r="K82" s="10" t="n"/>
      <c r="L82" s="10" t="n"/>
      <c r="M82" s="12" t="n"/>
      <c r="N82" s="10" t="n"/>
      <c r="O82" s="10" t="n"/>
    </row>
    <row r="83">
      <c r="A83" s="10" t="n"/>
      <c r="B83" s="10" t="n"/>
      <c r="C83" s="10" t="n"/>
      <c r="D83" s="10" t="n"/>
      <c r="E83" s="10" t="n"/>
      <c r="F83" s="11">
        <f>IF(E83="","",IF(E83="Authorize.net","1 - Slam dunk",IF(OR(E83="E-commerce",E83="B2B",E83="Vendor"),"2 - Strong",IF(E83="Retail","3 - Good",IF(E83="Restaurant/Bar/Lounge","4 - Hardest","5 - Unknown")))))</f>
        <v/>
      </c>
      <c r="G83" s="10" t="n"/>
      <c r="H83" s="10" t="n"/>
      <c r="I83" s="10" t="n"/>
      <c r="J83" s="10" t="n"/>
      <c r="K83" s="10" t="n"/>
      <c r="L83" s="10" t="n"/>
      <c r="M83" s="12" t="n"/>
      <c r="N83" s="10" t="n"/>
      <c r="O83" s="10" t="n"/>
    </row>
    <row r="84">
      <c r="A84" s="10" t="n"/>
      <c r="B84" s="10" t="n"/>
      <c r="C84" s="10" t="n"/>
      <c r="D84" s="10" t="n"/>
      <c r="E84" s="10" t="n"/>
      <c r="F84" s="11">
        <f>IF(E84="","",IF(E84="Authorize.net","1 - Slam dunk",IF(OR(E84="E-commerce",E84="B2B",E84="Vendor"),"2 - Strong",IF(E84="Retail","3 - Good",IF(E84="Restaurant/Bar/Lounge","4 - Hardest","5 - Unknown")))))</f>
        <v/>
      </c>
      <c r="G84" s="10" t="n"/>
      <c r="H84" s="10" t="n"/>
      <c r="I84" s="10" t="n"/>
      <c r="J84" s="10" t="n"/>
      <c r="K84" s="10" t="n"/>
      <c r="L84" s="10" t="n"/>
      <c r="M84" s="12" t="n"/>
      <c r="N84" s="10" t="n"/>
      <c r="O84" s="10" t="n"/>
    </row>
    <row r="85">
      <c r="A85" s="10" t="n"/>
      <c r="B85" s="10" t="n"/>
      <c r="C85" s="10" t="n"/>
      <c r="D85" s="10" t="n"/>
      <c r="E85" s="10" t="n"/>
      <c r="F85" s="11">
        <f>IF(E85="","",IF(E85="Authorize.net","1 - Slam dunk",IF(OR(E85="E-commerce",E85="B2B",E85="Vendor"),"2 - Strong",IF(E85="Retail","3 - Good",IF(E85="Restaurant/Bar/Lounge","4 - Hardest","5 - Unknown")))))</f>
        <v/>
      </c>
      <c r="G85" s="10" t="n"/>
      <c r="H85" s="10" t="n"/>
      <c r="I85" s="10" t="n"/>
      <c r="J85" s="10" t="n"/>
      <c r="K85" s="10" t="n"/>
      <c r="L85" s="10" t="n"/>
      <c r="M85" s="12" t="n"/>
      <c r="N85" s="10" t="n"/>
      <c r="O85" s="10" t="n"/>
    </row>
    <row r="86">
      <c r="A86" s="10" t="n"/>
      <c r="B86" s="10" t="n"/>
      <c r="C86" s="10" t="n"/>
      <c r="D86" s="10" t="n"/>
      <c r="E86" s="10" t="n"/>
      <c r="F86" s="11">
        <f>IF(E86="","",IF(E86="Authorize.net","1 - Slam dunk",IF(OR(E86="E-commerce",E86="B2B",E86="Vendor"),"2 - Strong",IF(E86="Retail","3 - Good",IF(E86="Restaurant/Bar/Lounge","4 - Hardest","5 - Unknown")))))</f>
        <v/>
      </c>
      <c r="G86" s="10" t="n"/>
      <c r="H86" s="10" t="n"/>
      <c r="I86" s="10" t="n"/>
      <c r="J86" s="10" t="n"/>
      <c r="K86" s="10" t="n"/>
      <c r="L86" s="10" t="n"/>
      <c r="M86" s="12" t="n"/>
      <c r="N86" s="10" t="n"/>
      <c r="O86" s="10" t="n"/>
    </row>
    <row r="87">
      <c r="A87" s="10" t="n"/>
      <c r="B87" s="10" t="n"/>
      <c r="C87" s="10" t="n"/>
      <c r="D87" s="10" t="n"/>
      <c r="E87" s="10" t="n"/>
      <c r="F87" s="11">
        <f>IF(E87="","",IF(E87="Authorize.net","1 - Slam dunk",IF(OR(E87="E-commerce",E87="B2B",E87="Vendor"),"2 - Strong",IF(E87="Retail","3 - Good",IF(E87="Restaurant/Bar/Lounge","4 - Hardest","5 - Unknown")))))</f>
        <v/>
      </c>
      <c r="G87" s="10" t="n"/>
      <c r="H87" s="10" t="n"/>
      <c r="I87" s="10" t="n"/>
      <c r="J87" s="10" t="n"/>
      <c r="K87" s="10" t="n"/>
      <c r="L87" s="10" t="n"/>
      <c r="M87" s="12" t="n"/>
      <c r="N87" s="10" t="n"/>
      <c r="O87" s="10" t="n"/>
    </row>
    <row r="88">
      <c r="A88" s="10" t="n"/>
      <c r="B88" s="10" t="n"/>
      <c r="C88" s="10" t="n"/>
      <c r="D88" s="10" t="n"/>
      <c r="E88" s="10" t="n"/>
      <c r="F88" s="11">
        <f>IF(E88="","",IF(E88="Authorize.net","1 - Slam dunk",IF(OR(E88="E-commerce",E88="B2B",E88="Vendor"),"2 - Strong",IF(E88="Retail","3 - Good",IF(E88="Restaurant/Bar/Lounge","4 - Hardest","5 - Unknown")))))</f>
        <v/>
      </c>
      <c r="G88" s="10" t="n"/>
      <c r="H88" s="10" t="n"/>
      <c r="I88" s="10" t="n"/>
      <c r="J88" s="10" t="n"/>
      <c r="K88" s="10" t="n"/>
      <c r="L88" s="10" t="n"/>
      <c r="M88" s="12" t="n"/>
      <c r="N88" s="10" t="n"/>
      <c r="O88" s="10" t="n"/>
    </row>
    <row r="89">
      <c r="A89" s="10" t="n"/>
      <c r="B89" s="10" t="n"/>
      <c r="C89" s="10" t="n"/>
      <c r="D89" s="10" t="n"/>
      <c r="E89" s="10" t="n"/>
      <c r="F89" s="11">
        <f>IF(E89="","",IF(E89="Authorize.net","1 - Slam dunk",IF(OR(E89="E-commerce",E89="B2B",E89="Vendor"),"2 - Strong",IF(E89="Retail","3 - Good",IF(E89="Restaurant/Bar/Lounge","4 - Hardest","5 - Unknown")))))</f>
        <v/>
      </c>
      <c r="G89" s="10" t="n"/>
      <c r="H89" s="10" t="n"/>
      <c r="I89" s="10" t="n"/>
      <c r="J89" s="10" t="n"/>
      <c r="K89" s="10" t="n"/>
      <c r="L89" s="10" t="n"/>
      <c r="M89" s="12" t="n"/>
      <c r="N89" s="10" t="n"/>
      <c r="O89" s="10" t="n"/>
    </row>
    <row r="90">
      <c r="A90" s="10" t="n"/>
      <c r="B90" s="10" t="n"/>
      <c r="C90" s="10" t="n"/>
      <c r="D90" s="10" t="n"/>
      <c r="E90" s="10" t="n"/>
      <c r="F90" s="11">
        <f>IF(E90="","",IF(E90="Authorize.net","1 - Slam dunk",IF(OR(E90="E-commerce",E90="B2B",E90="Vendor"),"2 - Strong",IF(E90="Retail","3 - Good",IF(E90="Restaurant/Bar/Lounge","4 - Hardest","5 - Unknown")))))</f>
        <v/>
      </c>
      <c r="G90" s="10" t="n"/>
      <c r="H90" s="10" t="n"/>
      <c r="I90" s="10" t="n"/>
      <c r="J90" s="10" t="n"/>
      <c r="K90" s="10" t="n"/>
      <c r="L90" s="10" t="n"/>
      <c r="M90" s="12" t="n"/>
      <c r="N90" s="10" t="n"/>
      <c r="O90" s="10" t="n"/>
    </row>
    <row r="91">
      <c r="A91" s="10" t="n"/>
      <c r="B91" s="10" t="n"/>
      <c r="C91" s="10" t="n"/>
      <c r="D91" s="10" t="n"/>
      <c r="E91" s="10" t="n"/>
      <c r="F91" s="11">
        <f>IF(E91="","",IF(E91="Authorize.net","1 - Slam dunk",IF(OR(E91="E-commerce",E91="B2B",E91="Vendor"),"2 - Strong",IF(E91="Retail","3 - Good",IF(E91="Restaurant/Bar/Lounge","4 - Hardest","5 - Unknown")))))</f>
        <v/>
      </c>
      <c r="G91" s="10" t="n"/>
      <c r="H91" s="10" t="n"/>
      <c r="I91" s="10" t="n"/>
      <c r="J91" s="10" t="n"/>
      <c r="K91" s="10" t="n"/>
      <c r="L91" s="10" t="n"/>
      <c r="M91" s="12" t="n"/>
      <c r="N91" s="10" t="n"/>
      <c r="O91" s="10" t="n"/>
    </row>
    <row r="92">
      <c r="A92" s="10" t="n"/>
      <c r="B92" s="10" t="n"/>
      <c r="C92" s="10" t="n"/>
      <c r="D92" s="10" t="n"/>
      <c r="E92" s="10" t="n"/>
      <c r="F92" s="11">
        <f>IF(E92="","",IF(E92="Authorize.net","1 - Slam dunk",IF(OR(E92="E-commerce",E92="B2B",E92="Vendor"),"2 - Strong",IF(E92="Retail","3 - Good",IF(E92="Restaurant/Bar/Lounge","4 - Hardest","5 - Unknown")))))</f>
        <v/>
      </c>
      <c r="G92" s="10" t="n"/>
      <c r="H92" s="10" t="n"/>
      <c r="I92" s="10" t="n"/>
      <c r="J92" s="10" t="n"/>
      <c r="K92" s="10" t="n"/>
      <c r="L92" s="10" t="n"/>
      <c r="M92" s="12" t="n"/>
      <c r="N92" s="10" t="n"/>
      <c r="O92" s="10" t="n"/>
    </row>
    <row r="93">
      <c r="A93" s="10" t="n"/>
      <c r="B93" s="10" t="n"/>
      <c r="C93" s="10" t="n"/>
      <c r="D93" s="10" t="n"/>
      <c r="E93" s="10" t="n"/>
      <c r="F93" s="11">
        <f>IF(E93="","",IF(E93="Authorize.net","1 - Slam dunk",IF(OR(E93="E-commerce",E93="B2B",E93="Vendor"),"2 - Strong",IF(E93="Retail","3 - Good",IF(E93="Restaurant/Bar/Lounge","4 - Hardest","5 - Unknown")))))</f>
        <v/>
      </c>
      <c r="G93" s="10" t="n"/>
      <c r="H93" s="10" t="n"/>
      <c r="I93" s="10" t="n"/>
      <c r="J93" s="10" t="n"/>
      <c r="K93" s="10" t="n"/>
      <c r="L93" s="10" t="n"/>
      <c r="M93" s="12" t="n"/>
      <c r="N93" s="10" t="n"/>
      <c r="O93" s="10" t="n"/>
    </row>
    <row r="94">
      <c r="A94" s="10" t="n"/>
      <c r="B94" s="10" t="n"/>
      <c r="C94" s="10" t="n"/>
      <c r="D94" s="10" t="n"/>
      <c r="E94" s="10" t="n"/>
      <c r="F94" s="11">
        <f>IF(E94="","",IF(E94="Authorize.net","1 - Slam dunk",IF(OR(E94="E-commerce",E94="B2B",E94="Vendor"),"2 - Strong",IF(E94="Retail","3 - Good",IF(E94="Restaurant/Bar/Lounge","4 - Hardest","5 - Unknown")))))</f>
        <v/>
      </c>
      <c r="G94" s="10" t="n"/>
      <c r="H94" s="10" t="n"/>
      <c r="I94" s="10" t="n"/>
      <c r="J94" s="10" t="n"/>
      <c r="K94" s="10" t="n"/>
      <c r="L94" s="10" t="n"/>
      <c r="M94" s="12" t="n"/>
      <c r="N94" s="10" t="n"/>
      <c r="O94" s="10" t="n"/>
    </row>
    <row r="95">
      <c r="A95" s="10" t="n"/>
      <c r="B95" s="10" t="n"/>
      <c r="C95" s="10" t="n"/>
      <c r="D95" s="10" t="n"/>
      <c r="E95" s="10" t="n"/>
      <c r="F95" s="11">
        <f>IF(E95="","",IF(E95="Authorize.net","1 - Slam dunk",IF(OR(E95="E-commerce",E95="B2B",E95="Vendor"),"2 - Strong",IF(E95="Retail","3 - Good",IF(E95="Restaurant/Bar/Lounge","4 - Hardest","5 - Unknown")))))</f>
        <v/>
      </c>
      <c r="G95" s="10" t="n"/>
      <c r="H95" s="10" t="n"/>
      <c r="I95" s="10" t="n"/>
      <c r="J95" s="10" t="n"/>
      <c r="K95" s="10" t="n"/>
      <c r="L95" s="10" t="n"/>
      <c r="M95" s="12" t="n"/>
      <c r="N95" s="10" t="n"/>
      <c r="O95" s="10" t="n"/>
    </row>
    <row r="96">
      <c r="A96" s="10" t="n"/>
      <c r="B96" s="10" t="n"/>
      <c r="C96" s="10" t="n"/>
      <c r="D96" s="10" t="n"/>
      <c r="E96" s="10" t="n"/>
      <c r="F96" s="11">
        <f>IF(E96="","",IF(E96="Authorize.net","1 - Slam dunk",IF(OR(E96="E-commerce",E96="B2B",E96="Vendor"),"2 - Strong",IF(E96="Retail","3 - Good",IF(E96="Restaurant/Bar/Lounge","4 - Hardest","5 - Unknown")))))</f>
        <v/>
      </c>
      <c r="G96" s="10" t="n"/>
      <c r="H96" s="10" t="n"/>
      <c r="I96" s="10" t="n"/>
      <c r="J96" s="10" t="n"/>
      <c r="K96" s="10" t="n"/>
      <c r="L96" s="10" t="n"/>
      <c r="M96" s="12" t="n"/>
      <c r="N96" s="10" t="n"/>
      <c r="O96" s="10" t="n"/>
    </row>
    <row r="97">
      <c r="A97" s="10" t="n"/>
      <c r="B97" s="10" t="n"/>
      <c r="C97" s="10" t="n"/>
      <c r="D97" s="10" t="n"/>
      <c r="E97" s="10" t="n"/>
      <c r="F97" s="11">
        <f>IF(E97="","",IF(E97="Authorize.net","1 - Slam dunk",IF(OR(E97="E-commerce",E97="B2B",E97="Vendor"),"2 - Strong",IF(E97="Retail","3 - Good",IF(E97="Restaurant/Bar/Lounge","4 - Hardest","5 - Unknown")))))</f>
        <v/>
      </c>
      <c r="G97" s="10" t="n"/>
      <c r="H97" s="10" t="n"/>
      <c r="I97" s="10" t="n"/>
      <c r="J97" s="10" t="n"/>
      <c r="K97" s="10" t="n"/>
      <c r="L97" s="10" t="n"/>
      <c r="M97" s="12" t="n"/>
      <c r="N97" s="10" t="n"/>
      <c r="O97" s="10" t="n"/>
    </row>
    <row r="98">
      <c r="A98" s="10" t="n"/>
      <c r="B98" s="10" t="n"/>
      <c r="C98" s="10" t="n"/>
      <c r="D98" s="10" t="n"/>
      <c r="E98" s="10" t="n"/>
      <c r="F98" s="11">
        <f>IF(E98="","",IF(E98="Authorize.net","1 - Slam dunk",IF(OR(E98="E-commerce",E98="B2B",E98="Vendor"),"2 - Strong",IF(E98="Retail","3 - Good",IF(E98="Restaurant/Bar/Lounge","4 - Hardest","5 - Unknown")))))</f>
        <v/>
      </c>
      <c r="G98" s="10" t="n"/>
      <c r="H98" s="10" t="n"/>
      <c r="I98" s="10" t="n"/>
      <c r="J98" s="10" t="n"/>
      <c r="K98" s="10" t="n"/>
      <c r="L98" s="10" t="n"/>
      <c r="M98" s="12" t="n"/>
      <c r="N98" s="10" t="n"/>
      <c r="O98" s="10" t="n"/>
    </row>
    <row r="99">
      <c r="A99" s="10" t="n"/>
      <c r="B99" s="10" t="n"/>
      <c r="C99" s="10" t="n"/>
      <c r="D99" s="10" t="n"/>
      <c r="E99" s="10" t="n"/>
      <c r="F99" s="11">
        <f>IF(E99="","",IF(E99="Authorize.net","1 - Slam dunk",IF(OR(E99="E-commerce",E99="B2B",E99="Vendor"),"2 - Strong",IF(E99="Retail","3 - Good",IF(E99="Restaurant/Bar/Lounge","4 - Hardest","5 - Unknown")))))</f>
        <v/>
      </c>
      <c r="G99" s="10" t="n"/>
      <c r="H99" s="10" t="n"/>
      <c r="I99" s="10" t="n"/>
      <c r="J99" s="10" t="n"/>
      <c r="K99" s="10" t="n"/>
      <c r="L99" s="10" t="n"/>
      <c r="M99" s="12" t="n"/>
      <c r="N99" s="10" t="n"/>
      <c r="O99" s="10" t="n"/>
    </row>
    <row r="100">
      <c r="A100" s="10" t="n"/>
      <c r="B100" s="10" t="n"/>
      <c r="C100" s="10" t="n"/>
      <c r="D100" s="10" t="n"/>
      <c r="E100" s="10" t="n"/>
      <c r="F100" s="11">
        <f>IF(E100="","",IF(E100="Authorize.net","1 - Slam dunk",IF(OR(E100="E-commerce",E100="B2B",E100="Vendor"),"2 - Strong",IF(E100="Retail","3 - Good",IF(E100="Restaurant/Bar/Lounge","4 - Hardest","5 - Unknown")))))</f>
        <v/>
      </c>
      <c r="G100" s="10" t="n"/>
      <c r="H100" s="10" t="n"/>
      <c r="I100" s="10" t="n"/>
      <c r="J100" s="10" t="n"/>
      <c r="K100" s="10" t="n"/>
      <c r="L100" s="10" t="n"/>
      <c r="M100" s="12" t="n"/>
      <c r="N100" s="10" t="n"/>
      <c r="O100" s="10" t="n"/>
    </row>
    <row r="101">
      <c r="A101" s="10" t="n"/>
      <c r="B101" s="10" t="n"/>
      <c r="C101" s="10" t="n"/>
      <c r="D101" s="10" t="n"/>
      <c r="E101" s="10" t="n"/>
      <c r="F101" s="11">
        <f>IF(E101="","",IF(E101="Authorize.net","1 - Slam dunk",IF(OR(E101="E-commerce",E101="B2B",E101="Vendor"),"2 - Strong",IF(E101="Retail","3 - Good",IF(E101="Restaurant/Bar/Lounge","4 - Hardest","5 - Unknown")))))</f>
        <v/>
      </c>
      <c r="G101" s="10" t="n"/>
      <c r="H101" s="10" t="n"/>
      <c r="I101" s="10" t="n"/>
      <c r="J101" s="10" t="n"/>
      <c r="K101" s="10" t="n"/>
      <c r="L101" s="10" t="n"/>
      <c r="M101" s="12" t="n"/>
      <c r="N101" s="10" t="n"/>
      <c r="O101" s="10" t="n"/>
    </row>
    <row r="102">
      <c r="A102" s="10" t="n"/>
      <c r="B102" s="10" t="n"/>
      <c r="C102" s="10" t="n"/>
      <c r="D102" s="10" t="n"/>
      <c r="E102" s="10" t="n"/>
      <c r="F102" s="11">
        <f>IF(E102="","",IF(E102="Authorize.net","1 - Slam dunk",IF(OR(E102="E-commerce",E102="B2B",E102="Vendor"),"2 - Strong",IF(E102="Retail","3 - Good",IF(E102="Restaurant/Bar/Lounge","4 - Hardest","5 - Unknown")))))</f>
        <v/>
      </c>
      <c r="G102" s="10" t="n"/>
      <c r="H102" s="10" t="n"/>
      <c r="I102" s="10" t="n"/>
      <c r="J102" s="10" t="n"/>
      <c r="K102" s="10" t="n"/>
      <c r="L102" s="10" t="n"/>
      <c r="M102" s="12" t="n"/>
      <c r="N102" s="10" t="n"/>
      <c r="O102" s="10" t="n"/>
    </row>
    <row r="103">
      <c r="A103" s="10" t="n"/>
      <c r="B103" s="10" t="n"/>
      <c r="C103" s="10" t="n"/>
      <c r="D103" s="10" t="n"/>
      <c r="E103" s="10" t="n"/>
      <c r="F103" s="11">
        <f>IF(E103="","",IF(E103="Authorize.net","1 - Slam dunk",IF(OR(E103="E-commerce",E103="B2B",E103="Vendor"),"2 - Strong",IF(E103="Retail","3 - Good",IF(E103="Restaurant/Bar/Lounge","4 - Hardest","5 - Unknown")))))</f>
        <v/>
      </c>
      <c r="G103" s="10" t="n"/>
      <c r="H103" s="10" t="n"/>
      <c r="I103" s="10" t="n"/>
      <c r="J103" s="10" t="n"/>
      <c r="K103" s="10" t="n"/>
      <c r="L103" s="10" t="n"/>
      <c r="M103" s="12" t="n"/>
      <c r="N103" s="10" t="n"/>
      <c r="O103" s="10" t="n"/>
    </row>
    <row r="104">
      <c r="A104" s="10" t="n"/>
      <c r="B104" s="10" t="n"/>
      <c r="C104" s="10" t="n"/>
      <c r="D104" s="10" t="n"/>
      <c r="E104" s="10" t="n"/>
      <c r="F104" s="11">
        <f>IF(E104="","",IF(E104="Authorize.net","1 - Slam dunk",IF(OR(E104="E-commerce",E104="B2B",E104="Vendor"),"2 - Strong",IF(E104="Retail","3 - Good",IF(E104="Restaurant/Bar/Lounge","4 - Hardest","5 - Unknown")))))</f>
        <v/>
      </c>
      <c r="G104" s="10" t="n"/>
      <c r="H104" s="10" t="n"/>
      <c r="I104" s="10" t="n"/>
      <c r="J104" s="10" t="n"/>
      <c r="K104" s="10" t="n"/>
      <c r="L104" s="10" t="n"/>
      <c r="M104" s="12" t="n"/>
      <c r="N104" s="10" t="n"/>
      <c r="O104" s="10" t="n"/>
    </row>
    <row r="105">
      <c r="A105" s="10" t="n"/>
      <c r="B105" s="10" t="n"/>
      <c r="C105" s="10" t="n"/>
      <c r="D105" s="10" t="n"/>
      <c r="E105" s="10" t="n"/>
      <c r="F105" s="11">
        <f>IF(E105="","",IF(E105="Authorize.net","1 - Slam dunk",IF(OR(E105="E-commerce",E105="B2B",E105="Vendor"),"2 - Strong",IF(E105="Retail","3 - Good",IF(E105="Restaurant/Bar/Lounge","4 - Hardest","5 - Unknown")))))</f>
        <v/>
      </c>
      <c r="G105" s="10" t="n"/>
      <c r="H105" s="10" t="n"/>
      <c r="I105" s="10" t="n"/>
      <c r="J105" s="10" t="n"/>
      <c r="K105" s="10" t="n"/>
      <c r="L105" s="10" t="n"/>
      <c r="M105" s="12" t="n"/>
      <c r="N105" s="10" t="n"/>
      <c r="O105" s="10" t="n"/>
    </row>
    <row r="106">
      <c r="A106" s="10" t="n"/>
      <c r="B106" s="10" t="n"/>
      <c r="C106" s="10" t="n"/>
      <c r="D106" s="10" t="n"/>
      <c r="E106" s="10" t="n"/>
      <c r="F106" s="11">
        <f>IF(E106="","",IF(E106="Authorize.net","1 - Slam dunk",IF(OR(E106="E-commerce",E106="B2B",E106="Vendor"),"2 - Strong",IF(E106="Retail","3 - Good",IF(E106="Restaurant/Bar/Lounge","4 - Hardest","5 - Unknown")))))</f>
        <v/>
      </c>
      <c r="G106" s="10" t="n"/>
      <c r="H106" s="10" t="n"/>
      <c r="I106" s="10" t="n"/>
      <c r="J106" s="10" t="n"/>
      <c r="K106" s="10" t="n"/>
      <c r="L106" s="10" t="n"/>
      <c r="M106" s="12" t="n"/>
      <c r="N106" s="10" t="n"/>
      <c r="O106" s="10" t="n"/>
    </row>
    <row r="107">
      <c r="A107" s="10" t="n"/>
      <c r="B107" s="10" t="n"/>
      <c r="C107" s="10" t="n"/>
      <c r="D107" s="10" t="n"/>
      <c r="E107" s="10" t="n"/>
      <c r="F107" s="11">
        <f>IF(E107="","",IF(E107="Authorize.net","1 - Slam dunk",IF(OR(E107="E-commerce",E107="B2B",E107="Vendor"),"2 - Strong",IF(E107="Retail","3 - Good",IF(E107="Restaurant/Bar/Lounge","4 - Hardest","5 - Unknown")))))</f>
        <v/>
      </c>
      <c r="G107" s="10" t="n"/>
      <c r="H107" s="10" t="n"/>
      <c r="I107" s="10" t="n"/>
      <c r="J107" s="10" t="n"/>
      <c r="K107" s="10" t="n"/>
      <c r="L107" s="10" t="n"/>
      <c r="M107" s="12" t="n"/>
      <c r="N107" s="10" t="n"/>
      <c r="O107" s="10" t="n"/>
    </row>
    <row r="108">
      <c r="A108" s="10" t="n"/>
      <c r="B108" s="10" t="n"/>
      <c r="C108" s="10" t="n"/>
      <c r="D108" s="10" t="n"/>
      <c r="E108" s="10" t="n"/>
      <c r="F108" s="11">
        <f>IF(E108="","",IF(E108="Authorize.net","1 - Slam dunk",IF(OR(E108="E-commerce",E108="B2B",E108="Vendor"),"2 - Strong",IF(E108="Retail","3 - Good",IF(E108="Restaurant/Bar/Lounge","4 - Hardest","5 - Unknown")))))</f>
        <v/>
      </c>
      <c r="G108" s="10" t="n"/>
      <c r="H108" s="10" t="n"/>
      <c r="I108" s="10" t="n"/>
      <c r="J108" s="10" t="n"/>
      <c r="K108" s="10" t="n"/>
      <c r="L108" s="10" t="n"/>
      <c r="M108" s="12" t="n"/>
      <c r="N108" s="10" t="n"/>
      <c r="O108" s="10" t="n"/>
    </row>
    <row r="109">
      <c r="A109" s="10" t="n"/>
      <c r="B109" s="10" t="n"/>
      <c r="C109" s="10" t="n"/>
      <c r="D109" s="10" t="n"/>
      <c r="E109" s="10" t="n"/>
      <c r="F109" s="11">
        <f>IF(E109="","",IF(E109="Authorize.net","1 - Slam dunk",IF(OR(E109="E-commerce",E109="B2B",E109="Vendor"),"2 - Strong",IF(E109="Retail","3 - Good",IF(E109="Restaurant/Bar/Lounge","4 - Hardest","5 - Unknown")))))</f>
        <v/>
      </c>
      <c r="G109" s="10" t="n"/>
      <c r="H109" s="10" t="n"/>
      <c r="I109" s="10" t="n"/>
      <c r="J109" s="10" t="n"/>
      <c r="K109" s="10" t="n"/>
      <c r="L109" s="10" t="n"/>
      <c r="M109" s="12" t="n"/>
      <c r="N109" s="10" t="n"/>
      <c r="O109" s="10" t="n"/>
    </row>
    <row r="110">
      <c r="A110" s="10" t="n"/>
      <c r="B110" s="10" t="n"/>
      <c r="C110" s="10" t="n"/>
      <c r="D110" s="10" t="n"/>
      <c r="E110" s="10" t="n"/>
      <c r="F110" s="11">
        <f>IF(E110="","",IF(E110="Authorize.net","1 - Slam dunk",IF(OR(E110="E-commerce",E110="B2B",E110="Vendor"),"2 - Strong",IF(E110="Retail","3 - Good",IF(E110="Restaurant/Bar/Lounge","4 - Hardest","5 - Unknown")))))</f>
        <v/>
      </c>
      <c r="G110" s="10" t="n"/>
      <c r="H110" s="10" t="n"/>
      <c r="I110" s="10" t="n"/>
      <c r="J110" s="10" t="n"/>
      <c r="K110" s="10" t="n"/>
      <c r="L110" s="10" t="n"/>
      <c r="M110" s="12" t="n"/>
      <c r="N110" s="10" t="n"/>
      <c r="O110" s="10" t="n"/>
    </row>
    <row r="111">
      <c r="A111" s="10" t="n"/>
      <c r="B111" s="10" t="n"/>
      <c r="C111" s="10" t="n"/>
      <c r="D111" s="10" t="n"/>
      <c r="E111" s="10" t="n"/>
      <c r="F111" s="11">
        <f>IF(E111="","",IF(E111="Authorize.net","1 - Slam dunk",IF(OR(E111="E-commerce",E111="B2B",E111="Vendor"),"2 - Strong",IF(E111="Retail","3 - Good",IF(E111="Restaurant/Bar/Lounge","4 - Hardest","5 - Unknown")))))</f>
        <v/>
      </c>
      <c r="G111" s="10" t="n"/>
      <c r="H111" s="10" t="n"/>
      <c r="I111" s="10" t="n"/>
      <c r="J111" s="10" t="n"/>
      <c r="K111" s="10" t="n"/>
      <c r="L111" s="10" t="n"/>
      <c r="M111" s="12" t="n"/>
      <c r="N111" s="10" t="n"/>
      <c r="O111" s="10" t="n"/>
    </row>
    <row r="112">
      <c r="A112" s="10" t="n"/>
      <c r="B112" s="10" t="n"/>
      <c r="C112" s="10" t="n"/>
      <c r="D112" s="10" t="n"/>
      <c r="E112" s="10" t="n"/>
      <c r="F112" s="11">
        <f>IF(E112="","",IF(E112="Authorize.net","1 - Slam dunk",IF(OR(E112="E-commerce",E112="B2B",E112="Vendor"),"2 - Strong",IF(E112="Retail","3 - Good",IF(E112="Restaurant/Bar/Lounge","4 - Hardest","5 - Unknown")))))</f>
        <v/>
      </c>
      <c r="G112" s="10" t="n"/>
      <c r="H112" s="10" t="n"/>
      <c r="I112" s="10" t="n"/>
      <c r="J112" s="10" t="n"/>
      <c r="K112" s="10" t="n"/>
      <c r="L112" s="10" t="n"/>
      <c r="M112" s="12" t="n"/>
      <c r="N112" s="10" t="n"/>
      <c r="O112" s="10" t="n"/>
    </row>
    <row r="113">
      <c r="A113" s="10" t="n"/>
      <c r="B113" s="10" t="n"/>
      <c r="C113" s="10" t="n"/>
      <c r="D113" s="10" t="n"/>
      <c r="E113" s="10" t="n"/>
      <c r="F113" s="11">
        <f>IF(E113="","",IF(E113="Authorize.net","1 - Slam dunk",IF(OR(E113="E-commerce",E113="B2B",E113="Vendor"),"2 - Strong",IF(E113="Retail","3 - Good",IF(E113="Restaurant/Bar/Lounge","4 - Hardest","5 - Unknown")))))</f>
        <v/>
      </c>
      <c r="G113" s="10" t="n"/>
      <c r="H113" s="10" t="n"/>
      <c r="I113" s="10" t="n"/>
      <c r="J113" s="10" t="n"/>
      <c r="K113" s="10" t="n"/>
      <c r="L113" s="10" t="n"/>
      <c r="M113" s="12" t="n"/>
      <c r="N113" s="10" t="n"/>
      <c r="O113" s="10" t="n"/>
    </row>
    <row r="114">
      <c r="A114" s="10" t="n"/>
      <c r="B114" s="10" t="n"/>
      <c r="C114" s="10" t="n"/>
      <c r="D114" s="10" t="n"/>
      <c r="E114" s="10" t="n"/>
      <c r="F114" s="11">
        <f>IF(E114="","",IF(E114="Authorize.net","1 - Slam dunk",IF(OR(E114="E-commerce",E114="B2B",E114="Vendor"),"2 - Strong",IF(E114="Retail","3 - Good",IF(E114="Restaurant/Bar/Lounge","4 - Hardest","5 - Unknown")))))</f>
        <v/>
      </c>
      <c r="G114" s="10" t="n"/>
      <c r="H114" s="10" t="n"/>
      <c r="I114" s="10" t="n"/>
      <c r="J114" s="10" t="n"/>
      <c r="K114" s="10" t="n"/>
      <c r="L114" s="10" t="n"/>
      <c r="M114" s="12" t="n"/>
      <c r="N114" s="10" t="n"/>
      <c r="O114" s="10" t="n"/>
    </row>
    <row r="115">
      <c r="A115" s="10" t="n"/>
      <c r="B115" s="10" t="n"/>
      <c r="C115" s="10" t="n"/>
      <c r="D115" s="10" t="n"/>
      <c r="E115" s="10" t="n"/>
      <c r="F115" s="11">
        <f>IF(E115="","",IF(E115="Authorize.net","1 - Slam dunk",IF(OR(E115="E-commerce",E115="B2B",E115="Vendor"),"2 - Strong",IF(E115="Retail","3 - Good",IF(E115="Restaurant/Bar/Lounge","4 - Hardest","5 - Unknown")))))</f>
        <v/>
      </c>
      <c r="G115" s="10" t="n"/>
      <c r="H115" s="10" t="n"/>
      <c r="I115" s="10" t="n"/>
      <c r="J115" s="10" t="n"/>
      <c r="K115" s="10" t="n"/>
      <c r="L115" s="10" t="n"/>
      <c r="M115" s="12" t="n"/>
      <c r="N115" s="10" t="n"/>
      <c r="O115" s="10" t="n"/>
    </row>
    <row r="116">
      <c r="A116" s="10" t="n"/>
      <c r="B116" s="10" t="n"/>
      <c r="C116" s="10" t="n"/>
      <c r="D116" s="10" t="n"/>
      <c r="E116" s="10" t="n"/>
      <c r="F116" s="11">
        <f>IF(E116="","",IF(E116="Authorize.net","1 - Slam dunk",IF(OR(E116="E-commerce",E116="B2B",E116="Vendor"),"2 - Strong",IF(E116="Retail","3 - Good",IF(E116="Restaurant/Bar/Lounge","4 - Hardest","5 - Unknown")))))</f>
        <v/>
      </c>
      <c r="G116" s="10" t="n"/>
      <c r="H116" s="10" t="n"/>
      <c r="I116" s="10" t="n"/>
      <c r="J116" s="10" t="n"/>
      <c r="K116" s="10" t="n"/>
      <c r="L116" s="10" t="n"/>
      <c r="M116" s="12" t="n"/>
      <c r="N116" s="10" t="n"/>
      <c r="O116" s="10" t="n"/>
    </row>
    <row r="117">
      <c r="A117" s="10" t="n"/>
      <c r="B117" s="10" t="n"/>
      <c r="C117" s="10" t="n"/>
      <c r="D117" s="10" t="n"/>
      <c r="E117" s="10" t="n"/>
      <c r="F117" s="11">
        <f>IF(E117="","",IF(E117="Authorize.net","1 - Slam dunk",IF(OR(E117="E-commerce",E117="B2B",E117="Vendor"),"2 - Strong",IF(E117="Retail","3 - Good",IF(E117="Restaurant/Bar/Lounge","4 - Hardest","5 - Unknown")))))</f>
        <v/>
      </c>
      <c r="G117" s="10" t="n"/>
      <c r="H117" s="10" t="n"/>
      <c r="I117" s="10" t="n"/>
      <c r="J117" s="10" t="n"/>
      <c r="K117" s="10" t="n"/>
      <c r="L117" s="10" t="n"/>
      <c r="M117" s="12" t="n"/>
      <c r="N117" s="10" t="n"/>
      <c r="O117" s="10" t="n"/>
    </row>
    <row r="118">
      <c r="A118" s="10" t="n"/>
      <c r="B118" s="10" t="n"/>
      <c r="C118" s="10" t="n"/>
      <c r="D118" s="10" t="n"/>
      <c r="E118" s="10" t="n"/>
      <c r="F118" s="11">
        <f>IF(E118="","",IF(E118="Authorize.net","1 - Slam dunk",IF(OR(E118="E-commerce",E118="B2B",E118="Vendor"),"2 - Strong",IF(E118="Retail","3 - Good",IF(E118="Restaurant/Bar/Lounge","4 - Hardest","5 - Unknown")))))</f>
        <v/>
      </c>
      <c r="G118" s="10" t="n"/>
      <c r="H118" s="10" t="n"/>
      <c r="I118" s="10" t="n"/>
      <c r="J118" s="10" t="n"/>
      <c r="K118" s="10" t="n"/>
      <c r="L118" s="10" t="n"/>
      <c r="M118" s="12" t="n"/>
      <c r="N118" s="10" t="n"/>
      <c r="O118" s="10" t="n"/>
    </row>
    <row r="119">
      <c r="A119" s="10" t="n"/>
      <c r="B119" s="10" t="n"/>
      <c r="C119" s="10" t="n"/>
      <c r="D119" s="10" t="n"/>
      <c r="E119" s="10" t="n"/>
      <c r="F119" s="11">
        <f>IF(E119="","",IF(E119="Authorize.net","1 - Slam dunk",IF(OR(E119="E-commerce",E119="B2B",E119="Vendor"),"2 - Strong",IF(E119="Retail","3 - Good",IF(E119="Restaurant/Bar/Lounge","4 - Hardest","5 - Unknown")))))</f>
        <v/>
      </c>
      <c r="G119" s="10" t="n"/>
      <c r="H119" s="10" t="n"/>
      <c r="I119" s="10" t="n"/>
      <c r="J119" s="10" t="n"/>
      <c r="K119" s="10" t="n"/>
      <c r="L119" s="10" t="n"/>
      <c r="M119" s="12" t="n"/>
      <c r="N119" s="10" t="n"/>
      <c r="O119" s="10" t="n"/>
    </row>
    <row r="120">
      <c r="A120" s="10" t="n"/>
      <c r="B120" s="10" t="n"/>
      <c r="C120" s="10" t="n"/>
      <c r="D120" s="10" t="n"/>
      <c r="E120" s="10" t="n"/>
      <c r="F120" s="11">
        <f>IF(E120="","",IF(E120="Authorize.net","1 - Slam dunk",IF(OR(E120="E-commerce",E120="B2B",E120="Vendor"),"2 - Strong",IF(E120="Retail","3 - Good",IF(E120="Restaurant/Bar/Lounge","4 - Hardest","5 - Unknown")))))</f>
        <v/>
      </c>
      <c r="G120" s="10" t="n"/>
      <c r="H120" s="10" t="n"/>
      <c r="I120" s="10" t="n"/>
      <c r="J120" s="10" t="n"/>
      <c r="K120" s="10" t="n"/>
      <c r="L120" s="10" t="n"/>
      <c r="M120" s="12" t="n"/>
      <c r="N120" s="10" t="n"/>
      <c r="O120" s="10" t="n"/>
    </row>
    <row r="121">
      <c r="A121" s="10" t="n"/>
      <c r="B121" s="10" t="n"/>
      <c r="C121" s="10" t="n"/>
      <c r="D121" s="10" t="n"/>
      <c r="E121" s="10" t="n"/>
      <c r="F121" s="11">
        <f>IF(E121="","",IF(E121="Authorize.net","1 - Slam dunk",IF(OR(E121="E-commerce",E121="B2B",E121="Vendor"),"2 - Strong",IF(E121="Retail","3 - Good",IF(E121="Restaurant/Bar/Lounge","4 - Hardest","5 - Unknown")))))</f>
        <v/>
      </c>
      <c r="G121" s="10" t="n"/>
      <c r="H121" s="10" t="n"/>
      <c r="I121" s="10" t="n"/>
      <c r="J121" s="10" t="n"/>
      <c r="K121" s="10" t="n"/>
      <c r="L121" s="10" t="n"/>
      <c r="M121" s="12" t="n"/>
      <c r="N121" s="10" t="n"/>
      <c r="O121" s="10" t="n"/>
    </row>
    <row r="122">
      <c r="A122" s="10" t="n"/>
      <c r="B122" s="10" t="n"/>
      <c r="C122" s="10" t="n"/>
      <c r="D122" s="10" t="n"/>
      <c r="E122" s="10" t="n"/>
      <c r="F122" s="11">
        <f>IF(E122="","",IF(E122="Authorize.net","1 - Slam dunk",IF(OR(E122="E-commerce",E122="B2B",E122="Vendor"),"2 - Strong",IF(E122="Retail","3 - Good",IF(E122="Restaurant/Bar/Lounge","4 - Hardest","5 - Unknown")))))</f>
        <v/>
      </c>
      <c r="G122" s="10" t="n"/>
      <c r="H122" s="10" t="n"/>
      <c r="I122" s="10" t="n"/>
      <c r="J122" s="10" t="n"/>
      <c r="K122" s="10" t="n"/>
      <c r="L122" s="10" t="n"/>
      <c r="M122" s="12" t="n"/>
      <c r="N122" s="10" t="n"/>
      <c r="O122" s="10" t="n"/>
    </row>
    <row r="123">
      <c r="A123" s="10" t="n"/>
      <c r="B123" s="10" t="n"/>
      <c r="C123" s="10" t="n"/>
      <c r="D123" s="10" t="n"/>
      <c r="E123" s="10" t="n"/>
      <c r="F123" s="11">
        <f>IF(E123="","",IF(E123="Authorize.net","1 - Slam dunk",IF(OR(E123="E-commerce",E123="B2B",E123="Vendor"),"2 - Strong",IF(E123="Retail","3 - Good",IF(E123="Restaurant/Bar/Lounge","4 - Hardest","5 - Unknown")))))</f>
        <v/>
      </c>
      <c r="G123" s="10" t="n"/>
      <c r="H123" s="10" t="n"/>
      <c r="I123" s="10" t="n"/>
      <c r="J123" s="10" t="n"/>
      <c r="K123" s="10" t="n"/>
      <c r="L123" s="10" t="n"/>
      <c r="M123" s="12" t="n"/>
      <c r="N123" s="10" t="n"/>
      <c r="O123" s="10" t="n"/>
    </row>
    <row r="124">
      <c r="A124" s="10" t="n"/>
      <c r="B124" s="10" t="n"/>
      <c r="C124" s="10" t="n"/>
      <c r="D124" s="10" t="n"/>
      <c r="E124" s="10" t="n"/>
      <c r="F124" s="11">
        <f>IF(E124="","",IF(E124="Authorize.net","1 - Slam dunk",IF(OR(E124="E-commerce",E124="B2B",E124="Vendor"),"2 - Strong",IF(E124="Retail","3 - Good",IF(E124="Restaurant/Bar/Lounge","4 - Hardest","5 - Unknown")))))</f>
        <v/>
      </c>
      <c r="G124" s="10" t="n"/>
      <c r="H124" s="10" t="n"/>
      <c r="I124" s="10" t="n"/>
      <c r="J124" s="10" t="n"/>
      <c r="K124" s="10" t="n"/>
      <c r="L124" s="10" t="n"/>
      <c r="M124" s="12" t="n"/>
      <c r="N124" s="10" t="n"/>
      <c r="O124" s="10" t="n"/>
    </row>
    <row r="125">
      <c r="A125" s="10" t="n"/>
      <c r="B125" s="10" t="n"/>
      <c r="C125" s="10" t="n"/>
      <c r="D125" s="10" t="n"/>
      <c r="E125" s="10" t="n"/>
      <c r="F125" s="11">
        <f>IF(E125="","",IF(E125="Authorize.net","1 - Slam dunk",IF(OR(E125="E-commerce",E125="B2B",E125="Vendor"),"2 - Strong",IF(E125="Retail","3 - Good",IF(E125="Restaurant/Bar/Lounge","4 - Hardest","5 - Unknown")))))</f>
        <v/>
      </c>
      <c r="G125" s="10" t="n"/>
      <c r="H125" s="10" t="n"/>
      <c r="I125" s="10" t="n"/>
      <c r="J125" s="10" t="n"/>
      <c r="K125" s="10" t="n"/>
      <c r="L125" s="10" t="n"/>
      <c r="M125" s="12" t="n"/>
      <c r="N125" s="10" t="n"/>
      <c r="O125" s="10" t="n"/>
    </row>
    <row r="126">
      <c r="A126" s="10" t="n"/>
      <c r="B126" s="10" t="n"/>
      <c r="C126" s="10" t="n"/>
      <c r="D126" s="10" t="n"/>
      <c r="E126" s="10" t="n"/>
      <c r="F126" s="11">
        <f>IF(E126="","",IF(E126="Authorize.net","1 - Slam dunk",IF(OR(E126="E-commerce",E126="B2B",E126="Vendor"),"2 - Strong",IF(E126="Retail","3 - Good",IF(E126="Restaurant/Bar/Lounge","4 - Hardest","5 - Unknown")))))</f>
        <v/>
      </c>
      <c r="G126" s="10" t="n"/>
      <c r="H126" s="10" t="n"/>
      <c r="I126" s="10" t="n"/>
      <c r="J126" s="10" t="n"/>
      <c r="K126" s="10" t="n"/>
      <c r="L126" s="10" t="n"/>
      <c r="M126" s="12" t="n"/>
      <c r="N126" s="10" t="n"/>
      <c r="O126" s="10" t="n"/>
    </row>
    <row r="127">
      <c r="A127" s="10" t="n"/>
      <c r="B127" s="10" t="n"/>
      <c r="C127" s="10" t="n"/>
      <c r="D127" s="10" t="n"/>
      <c r="E127" s="10" t="n"/>
      <c r="F127" s="11">
        <f>IF(E127="","",IF(E127="Authorize.net","1 - Slam dunk",IF(OR(E127="E-commerce",E127="B2B",E127="Vendor"),"2 - Strong",IF(E127="Retail","3 - Good",IF(E127="Restaurant/Bar/Lounge","4 - Hardest","5 - Unknown")))))</f>
        <v/>
      </c>
      <c r="G127" s="10" t="n"/>
      <c r="H127" s="10" t="n"/>
      <c r="I127" s="10" t="n"/>
      <c r="J127" s="10" t="n"/>
      <c r="K127" s="10" t="n"/>
      <c r="L127" s="10" t="n"/>
      <c r="M127" s="12" t="n"/>
      <c r="N127" s="10" t="n"/>
      <c r="O127" s="10" t="n"/>
    </row>
    <row r="128">
      <c r="A128" s="10" t="n"/>
      <c r="B128" s="10" t="n"/>
      <c r="C128" s="10" t="n"/>
      <c r="D128" s="10" t="n"/>
      <c r="E128" s="10" t="n"/>
      <c r="F128" s="11">
        <f>IF(E128="","",IF(E128="Authorize.net","1 - Slam dunk",IF(OR(E128="E-commerce",E128="B2B",E128="Vendor"),"2 - Strong",IF(E128="Retail","3 - Good",IF(E128="Restaurant/Bar/Lounge","4 - Hardest","5 - Unknown")))))</f>
        <v/>
      </c>
      <c r="G128" s="10" t="n"/>
      <c r="H128" s="10" t="n"/>
      <c r="I128" s="10" t="n"/>
      <c r="J128" s="10" t="n"/>
      <c r="K128" s="10" t="n"/>
      <c r="L128" s="10" t="n"/>
      <c r="M128" s="12" t="n"/>
      <c r="N128" s="10" t="n"/>
      <c r="O128" s="10" t="n"/>
    </row>
    <row r="129">
      <c r="A129" s="10" t="n"/>
      <c r="B129" s="10" t="n"/>
      <c r="C129" s="10" t="n"/>
      <c r="D129" s="10" t="n"/>
      <c r="E129" s="10" t="n"/>
      <c r="F129" s="11">
        <f>IF(E129="","",IF(E129="Authorize.net","1 - Slam dunk",IF(OR(E129="E-commerce",E129="B2B",E129="Vendor"),"2 - Strong",IF(E129="Retail","3 - Good",IF(E129="Restaurant/Bar/Lounge","4 - Hardest","5 - Unknown")))))</f>
        <v/>
      </c>
      <c r="G129" s="10" t="n"/>
      <c r="H129" s="10" t="n"/>
      <c r="I129" s="10" t="n"/>
      <c r="J129" s="10" t="n"/>
      <c r="K129" s="10" t="n"/>
      <c r="L129" s="10" t="n"/>
      <c r="M129" s="12" t="n"/>
      <c r="N129" s="10" t="n"/>
      <c r="O129" s="10" t="n"/>
    </row>
    <row r="130">
      <c r="A130" s="10" t="n"/>
      <c r="B130" s="10" t="n"/>
      <c r="C130" s="10" t="n"/>
      <c r="D130" s="10" t="n"/>
      <c r="E130" s="10" t="n"/>
      <c r="F130" s="11">
        <f>IF(E130="","",IF(E130="Authorize.net","1 - Slam dunk",IF(OR(E130="E-commerce",E130="B2B",E130="Vendor"),"2 - Strong",IF(E130="Retail","3 - Good",IF(E130="Restaurant/Bar/Lounge","4 - Hardest","5 - Unknown")))))</f>
        <v/>
      </c>
      <c r="G130" s="10" t="n"/>
      <c r="H130" s="10" t="n"/>
      <c r="I130" s="10" t="n"/>
      <c r="J130" s="10" t="n"/>
      <c r="K130" s="10" t="n"/>
      <c r="L130" s="10" t="n"/>
      <c r="M130" s="12" t="n"/>
      <c r="N130" s="10" t="n"/>
      <c r="O130" s="10" t="n"/>
    </row>
    <row r="131">
      <c r="A131" s="10" t="n"/>
      <c r="B131" s="10" t="n"/>
      <c r="C131" s="10" t="n"/>
      <c r="D131" s="10" t="n"/>
      <c r="E131" s="10" t="n"/>
      <c r="F131" s="11">
        <f>IF(E131="","",IF(E131="Authorize.net","1 - Slam dunk",IF(OR(E131="E-commerce",E131="B2B",E131="Vendor"),"2 - Strong",IF(E131="Retail","3 - Good",IF(E131="Restaurant/Bar/Lounge","4 - Hardest","5 - Unknown")))))</f>
        <v/>
      </c>
      <c r="G131" s="10" t="n"/>
      <c r="H131" s="10" t="n"/>
      <c r="I131" s="10" t="n"/>
      <c r="J131" s="10" t="n"/>
      <c r="K131" s="10" t="n"/>
      <c r="L131" s="10" t="n"/>
      <c r="M131" s="12" t="n"/>
      <c r="N131" s="10" t="n"/>
      <c r="O131" s="10" t="n"/>
    </row>
    <row r="132">
      <c r="A132" s="10" t="n"/>
      <c r="B132" s="10" t="n"/>
      <c r="C132" s="10" t="n"/>
      <c r="D132" s="10" t="n"/>
      <c r="E132" s="10" t="n"/>
      <c r="F132" s="11">
        <f>IF(E132="","",IF(E132="Authorize.net","1 - Slam dunk",IF(OR(E132="E-commerce",E132="B2B",E132="Vendor"),"2 - Strong",IF(E132="Retail","3 - Good",IF(E132="Restaurant/Bar/Lounge","4 - Hardest","5 - Unknown")))))</f>
        <v/>
      </c>
      <c r="G132" s="10" t="n"/>
      <c r="H132" s="10" t="n"/>
      <c r="I132" s="10" t="n"/>
      <c r="J132" s="10" t="n"/>
      <c r="K132" s="10" t="n"/>
      <c r="L132" s="10" t="n"/>
      <c r="M132" s="12" t="n"/>
      <c r="N132" s="10" t="n"/>
      <c r="O132" s="10" t="n"/>
    </row>
    <row r="133">
      <c r="A133" s="10" t="n"/>
      <c r="B133" s="10" t="n"/>
      <c r="C133" s="10" t="n"/>
      <c r="D133" s="10" t="n"/>
      <c r="E133" s="10" t="n"/>
      <c r="F133" s="11">
        <f>IF(E133="","",IF(E133="Authorize.net","1 - Slam dunk",IF(OR(E133="E-commerce",E133="B2B",E133="Vendor"),"2 - Strong",IF(E133="Retail","3 - Good",IF(E133="Restaurant/Bar/Lounge","4 - Hardest","5 - Unknown")))))</f>
        <v/>
      </c>
      <c r="G133" s="10" t="n"/>
      <c r="H133" s="10" t="n"/>
      <c r="I133" s="10" t="n"/>
      <c r="J133" s="10" t="n"/>
      <c r="K133" s="10" t="n"/>
      <c r="L133" s="10" t="n"/>
      <c r="M133" s="12" t="n"/>
      <c r="N133" s="10" t="n"/>
      <c r="O133" s="10" t="n"/>
    </row>
    <row r="134">
      <c r="A134" s="10" t="n"/>
      <c r="B134" s="10" t="n"/>
      <c r="C134" s="10" t="n"/>
      <c r="D134" s="10" t="n"/>
      <c r="E134" s="10" t="n"/>
      <c r="F134" s="11">
        <f>IF(E134="","",IF(E134="Authorize.net","1 - Slam dunk",IF(OR(E134="E-commerce",E134="B2B",E134="Vendor"),"2 - Strong",IF(E134="Retail","3 - Good",IF(E134="Restaurant/Bar/Lounge","4 - Hardest","5 - Unknown")))))</f>
        <v/>
      </c>
      <c r="G134" s="10" t="n"/>
      <c r="H134" s="10" t="n"/>
      <c r="I134" s="10" t="n"/>
      <c r="J134" s="10" t="n"/>
      <c r="K134" s="10" t="n"/>
      <c r="L134" s="10" t="n"/>
      <c r="M134" s="12" t="n"/>
      <c r="N134" s="10" t="n"/>
      <c r="O134" s="10" t="n"/>
    </row>
    <row r="135">
      <c r="A135" s="10" t="n"/>
      <c r="B135" s="10" t="n"/>
      <c r="C135" s="10" t="n"/>
      <c r="D135" s="10" t="n"/>
      <c r="E135" s="10" t="n"/>
      <c r="F135" s="11">
        <f>IF(E135="","",IF(E135="Authorize.net","1 - Slam dunk",IF(OR(E135="E-commerce",E135="B2B",E135="Vendor"),"2 - Strong",IF(E135="Retail","3 - Good",IF(E135="Restaurant/Bar/Lounge","4 - Hardest","5 - Unknown")))))</f>
        <v/>
      </c>
      <c r="G135" s="10" t="n"/>
      <c r="H135" s="10" t="n"/>
      <c r="I135" s="10" t="n"/>
      <c r="J135" s="10" t="n"/>
      <c r="K135" s="10" t="n"/>
      <c r="L135" s="10" t="n"/>
      <c r="M135" s="12" t="n"/>
      <c r="N135" s="10" t="n"/>
      <c r="O135" s="10" t="n"/>
    </row>
    <row r="136">
      <c r="A136" s="10" t="n"/>
      <c r="B136" s="10" t="n"/>
      <c r="C136" s="10" t="n"/>
      <c r="D136" s="10" t="n"/>
      <c r="E136" s="10" t="n"/>
      <c r="F136" s="11">
        <f>IF(E136="","",IF(E136="Authorize.net","1 - Slam dunk",IF(OR(E136="E-commerce",E136="B2B",E136="Vendor"),"2 - Strong",IF(E136="Retail","3 - Good",IF(E136="Restaurant/Bar/Lounge","4 - Hardest","5 - Unknown")))))</f>
        <v/>
      </c>
      <c r="G136" s="10" t="n"/>
      <c r="H136" s="10" t="n"/>
      <c r="I136" s="10" t="n"/>
      <c r="J136" s="10" t="n"/>
      <c r="K136" s="10" t="n"/>
      <c r="L136" s="10" t="n"/>
      <c r="M136" s="12" t="n"/>
      <c r="N136" s="10" t="n"/>
      <c r="O136" s="10" t="n"/>
    </row>
    <row r="137">
      <c r="A137" s="10" t="n"/>
      <c r="B137" s="10" t="n"/>
      <c r="C137" s="10" t="n"/>
      <c r="D137" s="10" t="n"/>
      <c r="E137" s="10" t="n"/>
      <c r="F137" s="11">
        <f>IF(E137="","",IF(E137="Authorize.net","1 - Slam dunk",IF(OR(E137="E-commerce",E137="B2B",E137="Vendor"),"2 - Strong",IF(E137="Retail","3 - Good",IF(E137="Restaurant/Bar/Lounge","4 - Hardest","5 - Unknown")))))</f>
        <v/>
      </c>
      <c r="G137" s="10" t="n"/>
      <c r="H137" s="10" t="n"/>
      <c r="I137" s="10" t="n"/>
      <c r="J137" s="10" t="n"/>
      <c r="K137" s="10" t="n"/>
      <c r="L137" s="10" t="n"/>
      <c r="M137" s="12" t="n"/>
      <c r="N137" s="10" t="n"/>
      <c r="O137" s="10" t="n"/>
    </row>
    <row r="138">
      <c r="A138" s="10" t="n"/>
      <c r="B138" s="10" t="n"/>
      <c r="C138" s="10" t="n"/>
      <c r="D138" s="10" t="n"/>
      <c r="E138" s="10" t="n"/>
      <c r="F138" s="11">
        <f>IF(E138="","",IF(E138="Authorize.net","1 - Slam dunk",IF(OR(E138="E-commerce",E138="B2B",E138="Vendor"),"2 - Strong",IF(E138="Retail","3 - Good",IF(E138="Restaurant/Bar/Lounge","4 - Hardest","5 - Unknown")))))</f>
        <v/>
      </c>
      <c r="G138" s="10" t="n"/>
      <c r="H138" s="10" t="n"/>
      <c r="I138" s="10" t="n"/>
      <c r="J138" s="10" t="n"/>
      <c r="K138" s="10" t="n"/>
      <c r="L138" s="10" t="n"/>
      <c r="M138" s="12" t="n"/>
      <c r="N138" s="10" t="n"/>
      <c r="O138" s="10" t="n"/>
    </row>
    <row r="139">
      <c r="A139" s="10" t="n"/>
      <c r="B139" s="10" t="n"/>
      <c r="C139" s="10" t="n"/>
      <c r="D139" s="10" t="n"/>
      <c r="E139" s="10" t="n"/>
      <c r="F139" s="11">
        <f>IF(E139="","",IF(E139="Authorize.net","1 - Slam dunk",IF(OR(E139="E-commerce",E139="B2B",E139="Vendor"),"2 - Strong",IF(E139="Retail","3 - Good",IF(E139="Restaurant/Bar/Lounge","4 - Hardest","5 - Unknown")))))</f>
        <v/>
      </c>
      <c r="G139" s="10" t="n"/>
      <c r="H139" s="10" t="n"/>
      <c r="I139" s="10" t="n"/>
      <c r="J139" s="10" t="n"/>
      <c r="K139" s="10" t="n"/>
      <c r="L139" s="10" t="n"/>
      <c r="M139" s="12" t="n"/>
      <c r="N139" s="10" t="n"/>
      <c r="O139" s="10" t="n"/>
    </row>
    <row r="140">
      <c r="A140" s="10" t="n"/>
      <c r="B140" s="10" t="n"/>
      <c r="C140" s="10" t="n"/>
      <c r="D140" s="10" t="n"/>
      <c r="E140" s="10" t="n"/>
      <c r="F140" s="11">
        <f>IF(E140="","",IF(E140="Authorize.net","1 - Slam dunk",IF(OR(E140="E-commerce",E140="B2B",E140="Vendor"),"2 - Strong",IF(E140="Retail","3 - Good",IF(E140="Restaurant/Bar/Lounge","4 - Hardest","5 - Unknown")))))</f>
        <v/>
      </c>
      <c r="G140" s="10" t="n"/>
      <c r="H140" s="10" t="n"/>
      <c r="I140" s="10" t="n"/>
      <c r="J140" s="10" t="n"/>
      <c r="K140" s="10" t="n"/>
      <c r="L140" s="10" t="n"/>
      <c r="M140" s="12" t="n"/>
      <c r="N140" s="10" t="n"/>
      <c r="O140" s="10" t="n"/>
    </row>
    <row r="141">
      <c r="A141" s="10" t="n"/>
      <c r="B141" s="10" t="n"/>
      <c r="C141" s="10" t="n"/>
      <c r="D141" s="10" t="n"/>
      <c r="E141" s="10" t="n"/>
      <c r="F141" s="11">
        <f>IF(E141="","",IF(E141="Authorize.net","1 - Slam dunk",IF(OR(E141="E-commerce",E141="B2B",E141="Vendor"),"2 - Strong",IF(E141="Retail","3 - Good",IF(E141="Restaurant/Bar/Lounge","4 - Hardest","5 - Unknown")))))</f>
        <v/>
      </c>
      <c r="G141" s="10" t="n"/>
      <c r="H141" s="10" t="n"/>
      <c r="I141" s="10" t="n"/>
      <c r="J141" s="10" t="n"/>
      <c r="K141" s="10" t="n"/>
      <c r="L141" s="10" t="n"/>
      <c r="M141" s="12" t="n"/>
      <c r="N141" s="10" t="n"/>
      <c r="O141" s="10" t="n"/>
    </row>
    <row r="142">
      <c r="A142" s="10" t="n"/>
      <c r="B142" s="10" t="n"/>
      <c r="C142" s="10" t="n"/>
      <c r="D142" s="10" t="n"/>
      <c r="E142" s="10" t="n"/>
      <c r="F142" s="11">
        <f>IF(E142="","",IF(E142="Authorize.net","1 - Slam dunk",IF(OR(E142="E-commerce",E142="B2B",E142="Vendor"),"2 - Strong",IF(E142="Retail","3 - Good",IF(E142="Restaurant/Bar/Lounge","4 - Hardest","5 - Unknown")))))</f>
        <v/>
      </c>
      <c r="G142" s="10" t="n"/>
      <c r="H142" s="10" t="n"/>
      <c r="I142" s="10" t="n"/>
      <c r="J142" s="10" t="n"/>
      <c r="K142" s="10" t="n"/>
      <c r="L142" s="10" t="n"/>
      <c r="M142" s="12" t="n"/>
      <c r="N142" s="10" t="n"/>
      <c r="O142" s="10" t="n"/>
    </row>
    <row r="143">
      <c r="A143" s="10" t="n"/>
      <c r="B143" s="10" t="n"/>
      <c r="C143" s="10" t="n"/>
      <c r="D143" s="10" t="n"/>
      <c r="E143" s="10" t="n"/>
      <c r="F143" s="11">
        <f>IF(E143="","",IF(E143="Authorize.net","1 - Slam dunk",IF(OR(E143="E-commerce",E143="B2B",E143="Vendor"),"2 - Strong",IF(E143="Retail","3 - Good",IF(E143="Restaurant/Bar/Lounge","4 - Hardest","5 - Unknown")))))</f>
        <v/>
      </c>
      <c r="G143" s="10" t="n"/>
      <c r="H143" s="10" t="n"/>
      <c r="I143" s="10" t="n"/>
      <c r="J143" s="10" t="n"/>
      <c r="K143" s="10" t="n"/>
      <c r="L143" s="10" t="n"/>
      <c r="M143" s="12" t="n"/>
      <c r="N143" s="10" t="n"/>
      <c r="O143" s="10" t="n"/>
    </row>
    <row r="144">
      <c r="A144" s="10" t="n"/>
      <c r="B144" s="10" t="n"/>
      <c r="C144" s="10" t="n"/>
      <c r="D144" s="10" t="n"/>
      <c r="E144" s="10" t="n"/>
      <c r="F144" s="11">
        <f>IF(E144="","",IF(E144="Authorize.net","1 - Slam dunk",IF(OR(E144="E-commerce",E144="B2B",E144="Vendor"),"2 - Strong",IF(E144="Retail","3 - Good",IF(E144="Restaurant/Bar/Lounge","4 - Hardest","5 - Unknown")))))</f>
        <v/>
      </c>
      <c r="G144" s="10" t="n"/>
      <c r="H144" s="10" t="n"/>
      <c r="I144" s="10" t="n"/>
      <c r="J144" s="10" t="n"/>
      <c r="K144" s="10" t="n"/>
      <c r="L144" s="10" t="n"/>
      <c r="M144" s="12" t="n"/>
      <c r="N144" s="10" t="n"/>
      <c r="O144" s="10" t="n"/>
    </row>
    <row r="145">
      <c r="A145" s="10" t="n"/>
      <c r="B145" s="10" t="n"/>
      <c r="C145" s="10" t="n"/>
      <c r="D145" s="10" t="n"/>
      <c r="E145" s="10" t="n"/>
      <c r="F145" s="11">
        <f>IF(E145="","",IF(E145="Authorize.net","1 - Slam dunk",IF(OR(E145="E-commerce",E145="B2B",E145="Vendor"),"2 - Strong",IF(E145="Retail","3 - Good",IF(E145="Restaurant/Bar/Lounge","4 - Hardest","5 - Unknown")))))</f>
        <v/>
      </c>
      <c r="G145" s="10" t="n"/>
      <c r="H145" s="10" t="n"/>
      <c r="I145" s="10" t="n"/>
      <c r="J145" s="10" t="n"/>
      <c r="K145" s="10" t="n"/>
      <c r="L145" s="10" t="n"/>
      <c r="M145" s="12" t="n"/>
      <c r="N145" s="10" t="n"/>
      <c r="O145" s="10" t="n"/>
    </row>
    <row r="146">
      <c r="A146" s="10" t="n"/>
      <c r="B146" s="10" t="n"/>
      <c r="C146" s="10" t="n"/>
      <c r="D146" s="10" t="n"/>
      <c r="E146" s="10" t="n"/>
      <c r="F146" s="11">
        <f>IF(E146="","",IF(E146="Authorize.net","1 - Slam dunk",IF(OR(E146="E-commerce",E146="B2B",E146="Vendor"),"2 - Strong",IF(E146="Retail","3 - Good",IF(E146="Restaurant/Bar/Lounge","4 - Hardest","5 - Unknown")))))</f>
        <v/>
      </c>
      <c r="G146" s="10" t="n"/>
      <c r="H146" s="10" t="n"/>
      <c r="I146" s="10" t="n"/>
      <c r="J146" s="10" t="n"/>
      <c r="K146" s="10" t="n"/>
      <c r="L146" s="10" t="n"/>
      <c r="M146" s="12" t="n"/>
      <c r="N146" s="10" t="n"/>
      <c r="O146" s="10" t="n"/>
    </row>
    <row r="147">
      <c r="A147" s="10" t="n"/>
      <c r="B147" s="10" t="n"/>
      <c r="C147" s="10" t="n"/>
      <c r="D147" s="10" t="n"/>
      <c r="E147" s="10" t="n"/>
      <c r="F147" s="11">
        <f>IF(E147="","",IF(E147="Authorize.net","1 - Slam dunk",IF(OR(E147="E-commerce",E147="B2B",E147="Vendor"),"2 - Strong",IF(E147="Retail","3 - Good",IF(E147="Restaurant/Bar/Lounge","4 - Hardest","5 - Unknown")))))</f>
        <v/>
      </c>
      <c r="G147" s="10" t="n"/>
      <c r="H147" s="10" t="n"/>
      <c r="I147" s="10" t="n"/>
      <c r="J147" s="10" t="n"/>
      <c r="K147" s="10" t="n"/>
      <c r="L147" s="10" t="n"/>
      <c r="M147" s="12" t="n"/>
      <c r="N147" s="10" t="n"/>
      <c r="O147" s="10" t="n"/>
    </row>
    <row r="148">
      <c r="A148" s="10" t="n"/>
      <c r="B148" s="10" t="n"/>
      <c r="C148" s="10" t="n"/>
      <c r="D148" s="10" t="n"/>
      <c r="E148" s="10" t="n"/>
      <c r="F148" s="11">
        <f>IF(E148="","",IF(E148="Authorize.net","1 - Slam dunk",IF(OR(E148="E-commerce",E148="B2B",E148="Vendor"),"2 - Strong",IF(E148="Retail","3 - Good",IF(E148="Restaurant/Bar/Lounge","4 - Hardest","5 - Unknown")))))</f>
        <v/>
      </c>
      <c r="G148" s="10" t="n"/>
      <c r="H148" s="10" t="n"/>
      <c r="I148" s="10" t="n"/>
      <c r="J148" s="10" t="n"/>
      <c r="K148" s="10" t="n"/>
      <c r="L148" s="10" t="n"/>
      <c r="M148" s="12" t="n"/>
      <c r="N148" s="10" t="n"/>
      <c r="O148" s="10" t="n"/>
    </row>
    <row r="149">
      <c r="A149" s="10" t="n"/>
      <c r="B149" s="10" t="n"/>
      <c r="C149" s="10" t="n"/>
      <c r="D149" s="10" t="n"/>
      <c r="E149" s="10" t="n"/>
      <c r="F149" s="11">
        <f>IF(E149="","",IF(E149="Authorize.net","1 - Slam dunk",IF(OR(E149="E-commerce",E149="B2B",E149="Vendor"),"2 - Strong",IF(E149="Retail","3 - Good",IF(E149="Restaurant/Bar/Lounge","4 - Hardest","5 - Unknown")))))</f>
        <v/>
      </c>
      <c r="G149" s="10" t="n"/>
      <c r="H149" s="10" t="n"/>
      <c r="I149" s="10" t="n"/>
      <c r="J149" s="10" t="n"/>
      <c r="K149" s="10" t="n"/>
      <c r="L149" s="10" t="n"/>
      <c r="M149" s="12" t="n"/>
      <c r="N149" s="10" t="n"/>
      <c r="O149" s="10" t="n"/>
    </row>
    <row r="150">
      <c r="A150" s="10" t="n"/>
      <c r="B150" s="10" t="n"/>
      <c r="C150" s="10" t="n"/>
      <c r="D150" s="10" t="n"/>
      <c r="E150" s="10" t="n"/>
      <c r="F150" s="11">
        <f>IF(E150="","",IF(E150="Authorize.net","1 - Slam dunk",IF(OR(E150="E-commerce",E150="B2B",E150="Vendor"),"2 - Strong",IF(E150="Retail","3 - Good",IF(E150="Restaurant/Bar/Lounge","4 - Hardest","5 - Unknown")))))</f>
        <v/>
      </c>
      <c r="G150" s="10" t="n"/>
      <c r="H150" s="10" t="n"/>
      <c r="I150" s="10" t="n"/>
      <c r="J150" s="10" t="n"/>
      <c r="K150" s="10" t="n"/>
      <c r="L150" s="10" t="n"/>
      <c r="M150" s="12" t="n"/>
      <c r="N150" s="10" t="n"/>
      <c r="O150" s="10" t="n"/>
    </row>
    <row r="151">
      <c r="A151" s="10" t="n"/>
      <c r="B151" s="10" t="n"/>
      <c r="C151" s="10" t="n"/>
      <c r="D151" s="10" t="n"/>
      <c r="E151" s="10" t="n"/>
      <c r="F151" s="11">
        <f>IF(E151="","",IF(E151="Authorize.net","1 - Slam dunk",IF(OR(E151="E-commerce",E151="B2B",E151="Vendor"),"2 - Strong",IF(E151="Retail","3 - Good",IF(E151="Restaurant/Bar/Lounge","4 - Hardest","5 - Unknown")))))</f>
        <v/>
      </c>
      <c r="G151" s="10" t="n"/>
      <c r="H151" s="10" t="n"/>
      <c r="I151" s="10" t="n"/>
      <c r="J151" s="10" t="n"/>
      <c r="K151" s="10" t="n"/>
      <c r="L151" s="10" t="n"/>
      <c r="M151" s="12" t="n"/>
      <c r="N151" s="10" t="n"/>
      <c r="O151" s="10" t="n"/>
    </row>
    <row r="152">
      <c r="A152" s="10" t="n"/>
      <c r="B152" s="10" t="n"/>
      <c r="C152" s="10" t="n"/>
      <c r="D152" s="10" t="n"/>
      <c r="E152" s="10" t="n"/>
      <c r="F152" s="11">
        <f>IF(E152="","",IF(E152="Authorize.net","1 - Slam dunk",IF(OR(E152="E-commerce",E152="B2B",E152="Vendor"),"2 - Strong",IF(E152="Retail","3 - Good",IF(E152="Restaurant/Bar/Lounge","4 - Hardest","5 - Unknown")))))</f>
        <v/>
      </c>
      <c r="G152" s="10" t="n"/>
      <c r="H152" s="10" t="n"/>
      <c r="I152" s="10" t="n"/>
      <c r="J152" s="10" t="n"/>
      <c r="K152" s="10" t="n"/>
      <c r="L152" s="10" t="n"/>
      <c r="M152" s="12" t="n"/>
      <c r="N152" s="10" t="n"/>
      <c r="O152" s="10" t="n"/>
    </row>
    <row r="153">
      <c r="A153" s="10" t="n"/>
      <c r="B153" s="10" t="n"/>
      <c r="C153" s="10" t="n"/>
      <c r="D153" s="10" t="n"/>
      <c r="E153" s="10" t="n"/>
      <c r="F153" s="11">
        <f>IF(E153="","",IF(E153="Authorize.net","1 - Slam dunk",IF(OR(E153="E-commerce",E153="B2B",E153="Vendor"),"2 - Strong",IF(E153="Retail","3 - Good",IF(E153="Restaurant/Bar/Lounge","4 - Hardest","5 - Unknown")))))</f>
        <v/>
      </c>
      <c r="G153" s="10" t="n"/>
      <c r="H153" s="10" t="n"/>
      <c r="I153" s="10" t="n"/>
      <c r="J153" s="10" t="n"/>
      <c r="K153" s="10" t="n"/>
      <c r="L153" s="10" t="n"/>
      <c r="M153" s="12" t="n"/>
      <c r="N153" s="10" t="n"/>
      <c r="O153" s="10" t="n"/>
    </row>
    <row r="154">
      <c r="A154" s="10" t="n"/>
      <c r="B154" s="10" t="n"/>
      <c r="C154" s="10" t="n"/>
      <c r="D154" s="10" t="n"/>
      <c r="E154" s="10" t="n"/>
      <c r="F154" s="11">
        <f>IF(E154="","",IF(E154="Authorize.net","1 - Slam dunk",IF(OR(E154="E-commerce",E154="B2B",E154="Vendor"),"2 - Strong",IF(E154="Retail","3 - Good",IF(E154="Restaurant/Bar/Lounge","4 - Hardest","5 - Unknown")))))</f>
        <v/>
      </c>
      <c r="G154" s="10" t="n"/>
      <c r="H154" s="10" t="n"/>
      <c r="I154" s="10" t="n"/>
      <c r="J154" s="10" t="n"/>
      <c r="K154" s="10" t="n"/>
      <c r="L154" s="10" t="n"/>
      <c r="M154" s="12" t="n"/>
      <c r="N154" s="10" t="n"/>
      <c r="O154" s="10" t="n"/>
    </row>
    <row r="155">
      <c r="A155" s="10" t="n"/>
      <c r="B155" s="10" t="n"/>
      <c r="C155" s="10" t="n"/>
      <c r="D155" s="10" t="n"/>
      <c r="E155" s="10" t="n"/>
      <c r="F155" s="11">
        <f>IF(E155="","",IF(E155="Authorize.net","1 - Slam dunk",IF(OR(E155="E-commerce",E155="B2B",E155="Vendor"),"2 - Strong",IF(E155="Retail","3 - Good",IF(E155="Restaurant/Bar/Lounge","4 - Hardest","5 - Unknown")))))</f>
        <v/>
      </c>
      <c r="G155" s="10" t="n"/>
      <c r="H155" s="10" t="n"/>
      <c r="I155" s="10" t="n"/>
      <c r="J155" s="10" t="n"/>
      <c r="K155" s="10" t="n"/>
      <c r="L155" s="10" t="n"/>
      <c r="M155" s="12" t="n"/>
      <c r="N155" s="10" t="n"/>
      <c r="O155" s="10" t="n"/>
    </row>
    <row r="156">
      <c r="A156" s="10" t="n"/>
      <c r="B156" s="10" t="n"/>
      <c r="C156" s="10" t="n"/>
      <c r="D156" s="10" t="n"/>
      <c r="E156" s="10" t="n"/>
      <c r="F156" s="11">
        <f>IF(E156="","",IF(E156="Authorize.net","1 - Slam dunk",IF(OR(E156="E-commerce",E156="B2B",E156="Vendor"),"2 - Strong",IF(E156="Retail","3 - Good",IF(E156="Restaurant/Bar/Lounge","4 - Hardest","5 - Unknown")))))</f>
        <v/>
      </c>
      <c r="G156" s="10" t="n"/>
      <c r="H156" s="10" t="n"/>
      <c r="I156" s="10" t="n"/>
      <c r="J156" s="10" t="n"/>
      <c r="K156" s="10" t="n"/>
      <c r="L156" s="10" t="n"/>
      <c r="M156" s="12" t="n"/>
      <c r="N156" s="10" t="n"/>
      <c r="O156" s="10" t="n"/>
    </row>
    <row r="157">
      <c r="A157" s="10" t="n"/>
      <c r="B157" s="10" t="n"/>
      <c r="C157" s="10" t="n"/>
      <c r="D157" s="10" t="n"/>
      <c r="E157" s="10" t="n"/>
      <c r="F157" s="11">
        <f>IF(E157="","",IF(E157="Authorize.net","1 - Slam dunk",IF(OR(E157="E-commerce",E157="B2B",E157="Vendor"),"2 - Strong",IF(E157="Retail","3 - Good",IF(E157="Restaurant/Bar/Lounge","4 - Hardest","5 - Unknown")))))</f>
        <v/>
      </c>
      <c r="G157" s="10" t="n"/>
      <c r="H157" s="10" t="n"/>
      <c r="I157" s="10" t="n"/>
      <c r="J157" s="10" t="n"/>
      <c r="K157" s="10" t="n"/>
      <c r="L157" s="10" t="n"/>
      <c r="M157" s="12" t="n"/>
      <c r="N157" s="10" t="n"/>
      <c r="O157" s="10" t="n"/>
    </row>
    <row r="158">
      <c r="A158" s="10" t="n"/>
      <c r="B158" s="10" t="n"/>
      <c r="C158" s="10" t="n"/>
      <c r="D158" s="10" t="n"/>
      <c r="E158" s="10" t="n"/>
      <c r="F158" s="11">
        <f>IF(E158="","",IF(E158="Authorize.net","1 - Slam dunk",IF(OR(E158="E-commerce",E158="B2B",E158="Vendor"),"2 - Strong",IF(E158="Retail","3 - Good",IF(E158="Restaurant/Bar/Lounge","4 - Hardest","5 - Unknown")))))</f>
        <v/>
      </c>
      <c r="G158" s="10" t="n"/>
      <c r="H158" s="10" t="n"/>
      <c r="I158" s="10" t="n"/>
      <c r="J158" s="10" t="n"/>
      <c r="K158" s="10" t="n"/>
      <c r="L158" s="10" t="n"/>
      <c r="M158" s="12" t="n"/>
      <c r="N158" s="10" t="n"/>
      <c r="O158" s="10" t="n"/>
    </row>
    <row r="159">
      <c r="A159" s="10" t="n"/>
      <c r="B159" s="10" t="n"/>
      <c r="C159" s="10" t="n"/>
      <c r="D159" s="10" t="n"/>
      <c r="E159" s="10" t="n"/>
      <c r="F159" s="11">
        <f>IF(E159="","",IF(E159="Authorize.net","1 - Slam dunk",IF(OR(E159="E-commerce",E159="B2B",E159="Vendor"),"2 - Strong",IF(E159="Retail","3 - Good",IF(E159="Restaurant/Bar/Lounge","4 - Hardest","5 - Unknown")))))</f>
        <v/>
      </c>
      <c r="G159" s="10" t="n"/>
      <c r="H159" s="10" t="n"/>
      <c r="I159" s="10" t="n"/>
      <c r="J159" s="10" t="n"/>
      <c r="K159" s="10" t="n"/>
      <c r="L159" s="10" t="n"/>
      <c r="M159" s="12" t="n"/>
      <c r="N159" s="10" t="n"/>
      <c r="O159" s="10" t="n"/>
    </row>
    <row r="160">
      <c r="A160" s="10" t="n"/>
      <c r="B160" s="10" t="n"/>
      <c r="C160" s="10" t="n"/>
      <c r="D160" s="10" t="n"/>
      <c r="E160" s="10" t="n"/>
      <c r="F160" s="11">
        <f>IF(E160="","",IF(E160="Authorize.net","1 - Slam dunk",IF(OR(E160="E-commerce",E160="B2B",E160="Vendor"),"2 - Strong",IF(E160="Retail","3 - Good",IF(E160="Restaurant/Bar/Lounge","4 - Hardest","5 - Unknown")))))</f>
        <v/>
      </c>
      <c r="G160" s="10" t="n"/>
      <c r="H160" s="10" t="n"/>
      <c r="I160" s="10" t="n"/>
      <c r="J160" s="10" t="n"/>
      <c r="K160" s="10" t="n"/>
      <c r="L160" s="10" t="n"/>
      <c r="M160" s="12" t="n"/>
      <c r="N160" s="10" t="n"/>
      <c r="O160" s="10" t="n"/>
    </row>
    <row r="161">
      <c r="A161" s="10" t="n"/>
      <c r="B161" s="10" t="n"/>
      <c r="C161" s="10" t="n"/>
      <c r="D161" s="10" t="n"/>
      <c r="E161" s="10" t="n"/>
      <c r="F161" s="11">
        <f>IF(E161="","",IF(E161="Authorize.net","1 - Slam dunk",IF(OR(E161="E-commerce",E161="B2B",E161="Vendor"),"2 - Strong",IF(E161="Retail","3 - Good",IF(E161="Restaurant/Bar/Lounge","4 - Hardest","5 - Unknown")))))</f>
        <v/>
      </c>
      <c r="G161" s="10" t="n"/>
      <c r="H161" s="10" t="n"/>
      <c r="I161" s="10" t="n"/>
      <c r="J161" s="10" t="n"/>
      <c r="K161" s="10" t="n"/>
      <c r="L161" s="10" t="n"/>
      <c r="M161" s="12" t="n"/>
      <c r="N161" s="10" t="n"/>
      <c r="O161" s="10" t="n"/>
    </row>
    <row r="162">
      <c r="A162" s="10" t="n"/>
      <c r="B162" s="10" t="n"/>
      <c r="C162" s="10" t="n"/>
      <c r="D162" s="10" t="n"/>
      <c r="E162" s="10" t="n"/>
      <c r="F162" s="11">
        <f>IF(E162="","",IF(E162="Authorize.net","1 - Slam dunk",IF(OR(E162="E-commerce",E162="B2B",E162="Vendor"),"2 - Strong",IF(E162="Retail","3 - Good",IF(E162="Restaurant/Bar/Lounge","4 - Hardest","5 - Unknown")))))</f>
        <v/>
      </c>
      <c r="G162" s="10" t="n"/>
      <c r="H162" s="10" t="n"/>
      <c r="I162" s="10" t="n"/>
      <c r="J162" s="10" t="n"/>
      <c r="K162" s="10" t="n"/>
      <c r="L162" s="10" t="n"/>
      <c r="M162" s="12" t="n"/>
      <c r="N162" s="10" t="n"/>
      <c r="O162" s="10" t="n"/>
    </row>
    <row r="163">
      <c r="A163" s="10" t="n"/>
      <c r="B163" s="10" t="n"/>
      <c r="C163" s="10" t="n"/>
      <c r="D163" s="10" t="n"/>
      <c r="E163" s="10" t="n"/>
      <c r="F163" s="11">
        <f>IF(E163="","",IF(E163="Authorize.net","1 - Slam dunk",IF(OR(E163="E-commerce",E163="B2B",E163="Vendor"),"2 - Strong",IF(E163="Retail","3 - Good",IF(E163="Restaurant/Bar/Lounge","4 - Hardest","5 - Unknown")))))</f>
        <v/>
      </c>
      <c r="G163" s="10" t="n"/>
      <c r="H163" s="10" t="n"/>
      <c r="I163" s="10" t="n"/>
      <c r="J163" s="10" t="n"/>
      <c r="K163" s="10" t="n"/>
      <c r="L163" s="10" t="n"/>
      <c r="M163" s="12" t="n"/>
      <c r="N163" s="10" t="n"/>
      <c r="O163" s="10" t="n"/>
    </row>
    <row r="164">
      <c r="A164" s="10" t="n"/>
      <c r="B164" s="10" t="n"/>
      <c r="C164" s="10" t="n"/>
      <c r="D164" s="10" t="n"/>
      <c r="E164" s="10" t="n"/>
      <c r="F164" s="11">
        <f>IF(E164="","",IF(E164="Authorize.net","1 - Slam dunk",IF(OR(E164="E-commerce",E164="B2B",E164="Vendor"),"2 - Strong",IF(E164="Retail","3 - Good",IF(E164="Restaurant/Bar/Lounge","4 - Hardest","5 - Unknown")))))</f>
        <v/>
      </c>
      <c r="G164" s="10" t="n"/>
      <c r="H164" s="10" t="n"/>
      <c r="I164" s="10" t="n"/>
      <c r="J164" s="10" t="n"/>
      <c r="K164" s="10" t="n"/>
      <c r="L164" s="10" t="n"/>
      <c r="M164" s="12" t="n"/>
      <c r="N164" s="10" t="n"/>
      <c r="O164" s="10" t="n"/>
    </row>
    <row r="165">
      <c r="A165" s="10" t="n"/>
      <c r="B165" s="10" t="n"/>
      <c r="C165" s="10" t="n"/>
      <c r="D165" s="10" t="n"/>
      <c r="E165" s="10" t="n"/>
      <c r="F165" s="11">
        <f>IF(E165="","",IF(E165="Authorize.net","1 - Slam dunk",IF(OR(E165="E-commerce",E165="B2B",E165="Vendor"),"2 - Strong",IF(E165="Retail","3 - Good",IF(E165="Restaurant/Bar/Lounge","4 - Hardest","5 - Unknown")))))</f>
        <v/>
      </c>
      <c r="G165" s="10" t="n"/>
      <c r="H165" s="10" t="n"/>
      <c r="I165" s="10" t="n"/>
      <c r="J165" s="10" t="n"/>
      <c r="K165" s="10" t="n"/>
      <c r="L165" s="10" t="n"/>
      <c r="M165" s="12" t="n"/>
      <c r="N165" s="10" t="n"/>
      <c r="O165" s="10" t="n"/>
    </row>
    <row r="166">
      <c r="A166" s="10" t="n"/>
      <c r="B166" s="10" t="n"/>
      <c r="C166" s="10" t="n"/>
      <c r="D166" s="10" t="n"/>
      <c r="E166" s="10" t="n"/>
      <c r="F166" s="11">
        <f>IF(E166="","",IF(E166="Authorize.net","1 - Slam dunk",IF(OR(E166="E-commerce",E166="B2B",E166="Vendor"),"2 - Strong",IF(E166="Retail","3 - Good",IF(E166="Restaurant/Bar/Lounge","4 - Hardest","5 - Unknown")))))</f>
        <v/>
      </c>
      <c r="G166" s="10" t="n"/>
      <c r="H166" s="10" t="n"/>
      <c r="I166" s="10" t="n"/>
      <c r="J166" s="10" t="n"/>
      <c r="K166" s="10" t="n"/>
      <c r="L166" s="10" t="n"/>
      <c r="M166" s="12" t="n"/>
      <c r="N166" s="10" t="n"/>
      <c r="O166" s="10" t="n"/>
    </row>
    <row r="167">
      <c r="A167" s="10" t="n"/>
      <c r="B167" s="10" t="n"/>
      <c r="C167" s="10" t="n"/>
      <c r="D167" s="10" t="n"/>
      <c r="E167" s="10" t="n"/>
      <c r="F167" s="11">
        <f>IF(E167="","",IF(E167="Authorize.net","1 - Slam dunk",IF(OR(E167="E-commerce",E167="B2B",E167="Vendor"),"2 - Strong",IF(E167="Retail","3 - Good",IF(E167="Restaurant/Bar/Lounge","4 - Hardest","5 - Unknown")))))</f>
        <v/>
      </c>
      <c r="G167" s="10" t="n"/>
      <c r="H167" s="10" t="n"/>
      <c r="I167" s="10" t="n"/>
      <c r="J167" s="10" t="n"/>
      <c r="K167" s="10" t="n"/>
      <c r="L167" s="10" t="n"/>
      <c r="M167" s="12" t="n"/>
      <c r="N167" s="10" t="n"/>
      <c r="O167" s="10" t="n"/>
    </row>
    <row r="168">
      <c r="A168" s="10" t="n"/>
      <c r="B168" s="10" t="n"/>
      <c r="C168" s="10" t="n"/>
      <c r="D168" s="10" t="n"/>
      <c r="E168" s="10" t="n"/>
      <c r="F168" s="11">
        <f>IF(E168="","",IF(E168="Authorize.net","1 - Slam dunk",IF(OR(E168="E-commerce",E168="B2B",E168="Vendor"),"2 - Strong",IF(E168="Retail","3 - Good",IF(E168="Restaurant/Bar/Lounge","4 - Hardest","5 - Unknown")))))</f>
        <v/>
      </c>
      <c r="G168" s="10" t="n"/>
      <c r="H168" s="10" t="n"/>
      <c r="I168" s="10" t="n"/>
      <c r="J168" s="10" t="n"/>
      <c r="K168" s="10" t="n"/>
      <c r="L168" s="10" t="n"/>
      <c r="M168" s="12" t="n"/>
      <c r="N168" s="10" t="n"/>
      <c r="O168" s="10" t="n"/>
    </row>
    <row r="169">
      <c r="A169" s="10" t="n"/>
      <c r="B169" s="10" t="n"/>
      <c r="C169" s="10" t="n"/>
      <c r="D169" s="10" t="n"/>
      <c r="E169" s="10" t="n"/>
      <c r="F169" s="11">
        <f>IF(E169="","",IF(E169="Authorize.net","1 - Slam dunk",IF(OR(E169="E-commerce",E169="B2B",E169="Vendor"),"2 - Strong",IF(E169="Retail","3 - Good",IF(E169="Restaurant/Bar/Lounge","4 - Hardest","5 - Unknown")))))</f>
        <v/>
      </c>
      <c r="G169" s="10" t="n"/>
      <c r="H169" s="10" t="n"/>
      <c r="I169" s="10" t="n"/>
      <c r="J169" s="10" t="n"/>
      <c r="K169" s="10" t="n"/>
      <c r="L169" s="10" t="n"/>
      <c r="M169" s="12" t="n"/>
      <c r="N169" s="10" t="n"/>
      <c r="O169" s="10" t="n"/>
    </row>
    <row r="170">
      <c r="A170" s="10" t="n"/>
      <c r="B170" s="10" t="n"/>
      <c r="C170" s="10" t="n"/>
      <c r="D170" s="10" t="n"/>
      <c r="E170" s="10" t="n"/>
      <c r="F170" s="11">
        <f>IF(E170="","",IF(E170="Authorize.net","1 - Slam dunk",IF(OR(E170="E-commerce",E170="B2B",E170="Vendor"),"2 - Strong",IF(E170="Retail","3 - Good",IF(E170="Restaurant/Bar/Lounge","4 - Hardest","5 - Unknown")))))</f>
        <v/>
      </c>
      <c r="G170" s="10" t="n"/>
      <c r="H170" s="10" t="n"/>
      <c r="I170" s="10" t="n"/>
      <c r="J170" s="10" t="n"/>
      <c r="K170" s="10" t="n"/>
      <c r="L170" s="10" t="n"/>
      <c r="M170" s="12" t="n"/>
      <c r="N170" s="10" t="n"/>
      <c r="O170" s="10" t="n"/>
    </row>
    <row r="171">
      <c r="A171" s="10" t="n"/>
      <c r="B171" s="10" t="n"/>
      <c r="C171" s="10" t="n"/>
      <c r="D171" s="10" t="n"/>
      <c r="E171" s="10" t="n"/>
      <c r="F171" s="11">
        <f>IF(E171="","",IF(E171="Authorize.net","1 - Slam dunk",IF(OR(E171="E-commerce",E171="B2B",E171="Vendor"),"2 - Strong",IF(E171="Retail","3 - Good",IF(E171="Restaurant/Bar/Lounge","4 - Hardest","5 - Unknown")))))</f>
        <v/>
      </c>
      <c r="G171" s="10" t="n"/>
      <c r="H171" s="10" t="n"/>
      <c r="I171" s="10" t="n"/>
      <c r="J171" s="10" t="n"/>
      <c r="K171" s="10" t="n"/>
      <c r="L171" s="10" t="n"/>
      <c r="M171" s="12" t="n"/>
      <c r="N171" s="10" t="n"/>
      <c r="O171" s="10" t="n"/>
    </row>
    <row r="172">
      <c r="A172" s="10" t="n"/>
      <c r="B172" s="10" t="n"/>
      <c r="C172" s="10" t="n"/>
      <c r="D172" s="10" t="n"/>
      <c r="E172" s="10" t="n"/>
      <c r="F172" s="11">
        <f>IF(E172="","",IF(E172="Authorize.net","1 - Slam dunk",IF(OR(E172="E-commerce",E172="B2B",E172="Vendor"),"2 - Strong",IF(E172="Retail","3 - Good",IF(E172="Restaurant/Bar/Lounge","4 - Hardest","5 - Unknown")))))</f>
        <v/>
      </c>
      <c r="G172" s="10" t="n"/>
      <c r="H172" s="10" t="n"/>
      <c r="I172" s="10" t="n"/>
      <c r="J172" s="10" t="n"/>
      <c r="K172" s="10" t="n"/>
      <c r="L172" s="10" t="n"/>
      <c r="M172" s="12" t="n"/>
      <c r="N172" s="10" t="n"/>
      <c r="O172" s="10" t="n"/>
    </row>
    <row r="173">
      <c r="A173" s="10" t="n"/>
      <c r="B173" s="10" t="n"/>
      <c r="C173" s="10" t="n"/>
      <c r="D173" s="10" t="n"/>
      <c r="E173" s="10" t="n"/>
      <c r="F173" s="11">
        <f>IF(E173="","",IF(E173="Authorize.net","1 - Slam dunk",IF(OR(E173="E-commerce",E173="B2B",E173="Vendor"),"2 - Strong",IF(E173="Retail","3 - Good",IF(E173="Restaurant/Bar/Lounge","4 - Hardest","5 - Unknown")))))</f>
        <v/>
      </c>
      <c r="G173" s="10" t="n"/>
      <c r="H173" s="10" t="n"/>
      <c r="I173" s="10" t="n"/>
      <c r="J173" s="10" t="n"/>
      <c r="K173" s="10" t="n"/>
      <c r="L173" s="10" t="n"/>
      <c r="M173" s="12" t="n"/>
      <c r="N173" s="10" t="n"/>
      <c r="O173" s="10" t="n"/>
    </row>
    <row r="174">
      <c r="A174" s="10" t="n"/>
      <c r="B174" s="10" t="n"/>
      <c r="C174" s="10" t="n"/>
      <c r="D174" s="10" t="n"/>
      <c r="E174" s="10" t="n"/>
      <c r="F174" s="11">
        <f>IF(E174="","",IF(E174="Authorize.net","1 - Slam dunk",IF(OR(E174="E-commerce",E174="B2B",E174="Vendor"),"2 - Strong",IF(E174="Retail","3 - Good",IF(E174="Restaurant/Bar/Lounge","4 - Hardest","5 - Unknown")))))</f>
        <v/>
      </c>
      <c r="G174" s="10" t="n"/>
      <c r="H174" s="10" t="n"/>
      <c r="I174" s="10" t="n"/>
      <c r="J174" s="10" t="n"/>
      <c r="K174" s="10" t="n"/>
      <c r="L174" s="10" t="n"/>
      <c r="M174" s="12" t="n"/>
      <c r="N174" s="10" t="n"/>
      <c r="O174" s="10" t="n"/>
    </row>
    <row r="175">
      <c r="A175" s="10" t="n"/>
      <c r="B175" s="10" t="n"/>
      <c r="C175" s="10" t="n"/>
      <c r="D175" s="10" t="n"/>
      <c r="E175" s="10" t="n"/>
      <c r="F175" s="11">
        <f>IF(E175="","",IF(E175="Authorize.net","1 - Slam dunk",IF(OR(E175="E-commerce",E175="B2B",E175="Vendor"),"2 - Strong",IF(E175="Retail","3 - Good",IF(E175="Restaurant/Bar/Lounge","4 - Hardest","5 - Unknown")))))</f>
        <v/>
      </c>
      <c r="G175" s="10" t="n"/>
      <c r="H175" s="10" t="n"/>
      <c r="I175" s="10" t="n"/>
      <c r="J175" s="10" t="n"/>
      <c r="K175" s="10" t="n"/>
      <c r="L175" s="10" t="n"/>
      <c r="M175" s="12" t="n"/>
      <c r="N175" s="10" t="n"/>
      <c r="O175" s="10" t="n"/>
    </row>
    <row r="176">
      <c r="A176" s="10" t="n"/>
      <c r="B176" s="10" t="n"/>
      <c r="C176" s="10" t="n"/>
      <c r="D176" s="10" t="n"/>
      <c r="E176" s="10" t="n"/>
      <c r="F176" s="11">
        <f>IF(E176="","",IF(E176="Authorize.net","1 - Slam dunk",IF(OR(E176="E-commerce",E176="B2B",E176="Vendor"),"2 - Strong",IF(E176="Retail","3 - Good",IF(E176="Restaurant/Bar/Lounge","4 - Hardest","5 - Unknown")))))</f>
        <v/>
      </c>
      <c r="G176" s="10" t="n"/>
      <c r="H176" s="10" t="n"/>
      <c r="I176" s="10" t="n"/>
      <c r="J176" s="10" t="n"/>
      <c r="K176" s="10" t="n"/>
      <c r="L176" s="10" t="n"/>
      <c r="M176" s="12" t="n"/>
      <c r="N176" s="10" t="n"/>
      <c r="O176" s="10" t="n"/>
    </row>
    <row r="177">
      <c r="A177" s="10" t="n"/>
      <c r="B177" s="10" t="n"/>
      <c r="C177" s="10" t="n"/>
      <c r="D177" s="10" t="n"/>
      <c r="E177" s="10" t="n"/>
      <c r="F177" s="11">
        <f>IF(E177="","",IF(E177="Authorize.net","1 - Slam dunk",IF(OR(E177="E-commerce",E177="B2B",E177="Vendor"),"2 - Strong",IF(E177="Retail","3 - Good",IF(E177="Restaurant/Bar/Lounge","4 - Hardest","5 - Unknown")))))</f>
        <v/>
      </c>
      <c r="G177" s="10" t="n"/>
      <c r="H177" s="10" t="n"/>
      <c r="I177" s="10" t="n"/>
      <c r="J177" s="10" t="n"/>
      <c r="K177" s="10" t="n"/>
      <c r="L177" s="10" t="n"/>
      <c r="M177" s="12" t="n"/>
      <c r="N177" s="10" t="n"/>
      <c r="O177" s="10" t="n"/>
    </row>
    <row r="178">
      <c r="A178" s="10" t="n"/>
      <c r="B178" s="10" t="n"/>
      <c r="C178" s="10" t="n"/>
      <c r="D178" s="10" t="n"/>
      <c r="E178" s="10" t="n"/>
      <c r="F178" s="11">
        <f>IF(E178="","",IF(E178="Authorize.net","1 - Slam dunk",IF(OR(E178="E-commerce",E178="B2B",E178="Vendor"),"2 - Strong",IF(E178="Retail","3 - Good",IF(E178="Restaurant/Bar/Lounge","4 - Hardest","5 - Unknown")))))</f>
        <v/>
      </c>
      <c r="G178" s="10" t="n"/>
      <c r="H178" s="10" t="n"/>
      <c r="I178" s="10" t="n"/>
      <c r="J178" s="10" t="n"/>
      <c r="K178" s="10" t="n"/>
      <c r="L178" s="10" t="n"/>
      <c r="M178" s="12" t="n"/>
      <c r="N178" s="10" t="n"/>
      <c r="O178" s="10" t="n"/>
    </row>
    <row r="179">
      <c r="A179" s="10" t="n"/>
      <c r="B179" s="10" t="n"/>
      <c r="C179" s="10" t="n"/>
      <c r="D179" s="10" t="n"/>
      <c r="E179" s="10" t="n"/>
      <c r="F179" s="11">
        <f>IF(E179="","",IF(E179="Authorize.net","1 - Slam dunk",IF(OR(E179="E-commerce",E179="B2B",E179="Vendor"),"2 - Strong",IF(E179="Retail","3 - Good",IF(E179="Restaurant/Bar/Lounge","4 - Hardest","5 - Unknown")))))</f>
        <v/>
      </c>
      <c r="G179" s="10" t="n"/>
      <c r="H179" s="10" t="n"/>
      <c r="I179" s="10" t="n"/>
      <c r="J179" s="10" t="n"/>
      <c r="K179" s="10" t="n"/>
      <c r="L179" s="10" t="n"/>
      <c r="M179" s="12" t="n"/>
      <c r="N179" s="10" t="n"/>
      <c r="O179" s="10" t="n"/>
    </row>
    <row r="180">
      <c r="A180" s="10" t="n"/>
      <c r="B180" s="10" t="n"/>
      <c r="C180" s="10" t="n"/>
      <c r="D180" s="10" t="n"/>
      <c r="E180" s="10" t="n"/>
      <c r="F180" s="11">
        <f>IF(E180="","",IF(E180="Authorize.net","1 - Slam dunk",IF(OR(E180="E-commerce",E180="B2B",E180="Vendor"),"2 - Strong",IF(E180="Retail","3 - Good",IF(E180="Restaurant/Bar/Lounge","4 - Hardest","5 - Unknown")))))</f>
        <v/>
      </c>
      <c r="G180" s="10" t="n"/>
      <c r="H180" s="10" t="n"/>
      <c r="I180" s="10" t="n"/>
      <c r="J180" s="10" t="n"/>
      <c r="K180" s="10" t="n"/>
      <c r="L180" s="10" t="n"/>
      <c r="M180" s="12" t="n"/>
      <c r="N180" s="10" t="n"/>
      <c r="O180" s="10" t="n"/>
    </row>
    <row r="181">
      <c r="A181" s="10" t="n"/>
      <c r="B181" s="10" t="n"/>
      <c r="C181" s="10" t="n"/>
      <c r="D181" s="10" t="n"/>
      <c r="E181" s="10" t="n"/>
      <c r="F181" s="11">
        <f>IF(E181="","",IF(E181="Authorize.net","1 - Slam dunk",IF(OR(E181="E-commerce",E181="B2B",E181="Vendor"),"2 - Strong",IF(E181="Retail","3 - Good",IF(E181="Restaurant/Bar/Lounge","4 - Hardest","5 - Unknown")))))</f>
        <v/>
      </c>
      <c r="G181" s="10" t="n"/>
      <c r="H181" s="10" t="n"/>
      <c r="I181" s="10" t="n"/>
      <c r="J181" s="10" t="n"/>
      <c r="K181" s="10" t="n"/>
      <c r="L181" s="10" t="n"/>
      <c r="M181" s="12" t="n"/>
      <c r="N181" s="10" t="n"/>
      <c r="O181" s="10" t="n"/>
    </row>
    <row r="182">
      <c r="A182" s="10" t="n"/>
      <c r="B182" s="10" t="n"/>
      <c r="C182" s="10" t="n"/>
      <c r="D182" s="10" t="n"/>
      <c r="E182" s="10" t="n"/>
      <c r="F182" s="11">
        <f>IF(E182="","",IF(E182="Authorize.net","1 - Slam dunk",IF(OR(E182="E-commerce",E182="B2B",E182="Vendor"),"2 - Strong",IF(E182="Retail","3 - Good",IF(E182="Restaurant/Bar/Lounge","4 - Hardest","5 - Unknown")))))</f>
        <v/>
      </c>
      <c r="G182" s="10" t="n"/>
      <c r="H182" s="10" t="n"/>
      <c r="I182" s="10" t="n"/>
      <c r="J182" s="10" t="n"/>
      <c r="K182" s="10" t="n"/>
      <c r="L182" s="10" t="n"/>
      <c r="M182" s="12" t="n"/>
      <c r="N182" s="10" t="n"/>
      <c r="O182" s="10" t="n"/>
    </row>
    <row r="183">
      <c r="A183" s="10" t="n"/>
      <c r="B183" s="10" t="n"/>
      <c r="C183" s="10" t="n"/>
      <c r="D183" s="10" t="n"/>
      <c r="E183" s="10" t="n"/>
      <c r="F183" s="11">
        <f>IF(E183="","",IF(E183="Authorize.net","1 - Slam dunk",IF(OR(E183="E-commerce",E183="B2B",E183="Vendor"),"2 - Strong",IF(E183="Retail","3 - Good",IF(E183="Restaurant/Bar/Lounge","4 - Hardest","5 - Unknown")))))</f>
        <v/>
      </c>
      <c r="G183" s="10" t="n"/>
      <c r="H183" s="10" t="n"/>
      <c r="I183" s="10" t="n"/>
      <c r="J183" s="10" t="n"/>
      <c r="K183" s="10" t="n"/>
      <c r="L183" s="10" t="n"/>
      <c r="M183" s="12" t="n"/>
      <c r="N183" s="10" t="n"/>
      <c r="O183" s="10" t="n"/>
    </row>
    <row r="184">
      <c r="A184" s="10" t="n"/>
      <c r="B184" s="10" t="n"/>
      <c r="C184" s="10" t="n"/>
      <c r="D184" s="10" t="n"/>
      <c r="E184" s="10" t="n"/>
      <c r="F184" s="11">
        <f>IF(E184="","",IF(E184="Authorize.net","1 - Slam dunk",IF(OR(E184="E-commerce",E184="B2B",E184="Vendor"),"2 - Strong",IF(E184="Retail","3 - Good",IF(E184="Restaurant/Bar/Lounge","4 - Hardest","5 - Unknown")))))</f>
        <v/>
      </c>
      <c r="G184" s="10" t="n"/>
      <c r="H184" s="10" t="n"/>
      <c r="I184" s="10" t="n"/>
      <c r="J184" s="10" t="n"/>
      <c r="K184" s="10" t="n"/>
      <c r="L184" s="10" t="n"/>
      <c r="M184" s="12" t="n"/>
      <c r="N184" s="10" t="n"/>
      <c r="O184" s="10" t="n"/>
    </row>
    <row r="185">
      <c r="A185" s="10" t="n"/>
      <c r="B185" s="10" t="n"/>
      <c r="C185" s="10" t="n"/>
      <c r="D185" s="10" t="n"/>
      <c r="E185" s="10" t="n"/>
      <c r="F185" s="11">
        <f>IF(E185="","",IF(E185="Authorize.net","1 - Slam dunk",IF(OR(E185="E-commerce",E185="B2B",E185="Vendor"),"2 - Strong",IF(E185="Retail","3 - Good",IF(E185="Restaurant/Bar/Lounge","4 - Hardest","5 - Unknown")))))</f>
        <v/>
      </c>
      <c r="G185" s="10" t="n"/>
      <c r="H185" s="10" t="n"/>
      <c r="I185" s="10" t="n"/>
      <c r="J185" s="10" t="n"/>
      <c r="K185" s="10" t="n"/>
      <c r="L185" s="10" t="n"/>
      <c r="M185" s="12" t="n"/>
      <c r="N185" s="10" t="n"/>
      <c r="O185" s="10" t="n"/>
    </row>
    <row r="186">
      <c r="A186" s="10" t="n"/>
      <c r="B186" s="10" t="n"/>
      <c r="C186" s="10" t="n"/>
      <c r="D186" s="10" t="n"/>
      <c r="E186" s="10" t="n"/>
      <c r="F186" s="11">
        <f>IF(E186="","",IF(E186="Authorize.net","1 - Slam dunk",IF(OR(E186="E-commerce",E186="B2B",E186="Vendor"),"2 - Strong",IF(E186="Retail","3 - Good",IF(E186="Restaurant/Bar/Lounge","4 - Hardest","5 - Unknown")))))</f>
        <v/>
      </c>
      <c r="G186" s="10" t="n"/>
      <c r="H186" s="10" t="n"/>
      <c r="I186" s="10" t="n"/>
      <c r="J186" s="10" t="n"/>
      <c r="K186" s="10" t="n"/>
      <c r="L186" s="10" t="n"/>
      <c r="M186" s="12" t="n"/>
      <c r="N186" s="10" t="n"/>
      <c r="O186" s="10" t="n"/>
    </row>
    <row r="187">
      <c r="A187" s="10" t="n"/>
      <c r="B187" s="10" t="n"/>
      <c r="C187" s="10" t="n"/>
      <c r="D187" s="10" t="n"/>
      <c r="E187" s="10" t="n"/>
      <c r="F187" s="11">
        <f>IF(E187="","",IF(E187="Authorize.net","1 - Slam dunk",IF(OR(E187="E-commerce",E187="B2B",E187="Vendor"),"2 - Strong",IF(E187="Retail","3 - Good",IF(E187="Restaurant/Bar/Lounge","4 - Hardest","5 - Unknown")))))</f>
        <v/>
      </c>
      <c r="G187" s="10" t="n"/>
      <c r="H187" s="10" t="n"/>
      <c r="I187" s="10" t="n"/>
      <c r="J187" s="10" t="n"/>
      <c r="K187" s="10" t="n"/>
      <c r="L187" s="10" t="n"/>
      <c r="M187" s="12" t="n"/>
      <c r="N187" s="10" t="n"/>
      <c r="O187" s="10" t="n"/>
    </row>
    <row r="188">
      <c r="A188" s="10" t="n"/>
      <c r="B188" s="10" t="n"/>
      <c r="C188" s="10" t="n"/>
      <c r="D188" s="10" t="n"/>
      <c r="E188" s="10" t="n"/>
      <c r="F188" s="11">
        <f>IF(E188="","",IF(E188="Authorize.net","1 - Slam dunk",IF(OR(E188="E-commerce",E188="B2B",E188="Vendor"),"2 - Strong",IF(E188="Retail","3 - Good",IF(E188="Restaurant/Bar/Lounge","4 - Hardest","5 - Unknown")))))</f>
        <v/>
      </c>
      <c r="G188" s="10" t="n"/>
      <c r="H188" s="10" t="n"/>
      <c r="I188" s="10" t="n"/>
      <c r="J188" s="10" t="n"/>
      <c r="K188" s="10" t="n"/>
      <c r="L188" s="10" t="n"/>
      <c r="M188" s="12" t="n"/>
      <c r="N188" s="10" t="n"/>
      <c r="O188" s="10" t="n"/>
    </row>
    <row r="189">
      <c r="A189" s="10" t="n"/>
      <c r="B189" s="10" t="n"/>
      <c r="C189" s="10" t="n"/>
      <c r="D189" s="10" t="n"/>
      <c r="E189" s="10" t="n"/>
      <c r="F189" s="11">
        <f>IF(E189="","",IF(E189="Authorize.net","1 - Slam dunk",IF(OR(E189="E-commerce",E189="B2B",E189="Vendor"),"2 - Strong",IF(E189="Retail","3 - Good",IF(E189="Restaurant/Bar/Lounge","4 - Hardest","5 - Unknown")))))</f>
        <v/>
      </c>
      <c r="G189" s="10" t="n"/>
      <c r="H189" s="10" t="n"/>
      <c r="I189" s="10" t="n"/>
      <c r="J189" s="10" t="n"/>
      <c r="K189" s="10" t="n"/>
      <c r="L189" s="10" t="n"/>
      <c r="M189" s="12" t="n"/>
      <c r="N189" s="10" t="n"/>
      <c r="O189" s="10" t="n"/>
    </row>
    <row r="190">
      <c r="A190" s="10" t="n"/>
      <c r="B190" s="10" t="n"/>
      <c r="C190" s="10" t="n"/>
      <c r="D190" s="10" t="n"/>
      <c r="E190" s="10" t="n"/>
      <c r="F190" s="11">
        <f>IF(E190="","",IF(E190="Authorize.net","1 - Slam dunk",IF(OR(E190="E-commerce",E190="B2B",E190="Vendor"),"2 - Strong",IF(E190="Retail","3 - Good",IF(E190="Restaurant/Bar/Lounge","4 - Hardest","5 - Unknown")))))</f>
        <v/>
      </c>
      <c r="G190" s="10" t="n"/>
      <c r="H190" s="10" t="n"/>
      <c r="I190" s="10" t="n"/>
      <c r="J190" s="10" t="n"/>
      <c r="K190" s="10" t="n"/>
      <c r="L190" s="10" t="n"/>
      <c r="M190" s="12" t="n"/>
      <c r="N190" s="10" t="n"/>
      <c r="O190" s="10" t="n"/>
    </row>
    <row r="191">
      <c r="A191" s="10" t="n"/>
      <c r="B191" s="10" t="n"/>
      <c r="C191" s="10" t="n"/>
      <c r="D191" s="10" t="n"/>
      <c r="E191" s="10" t="n"/>
      <c r="F191" s="11">
        <f>IF(E191="","",IF(E191="Authorize.net","1 - Slam dunk",IF(OR(E191="E-commerce",E191="B2B",E191="Vendor"),"2 - Strong",IF(E191="Retail","3 - Good",IF(E191="Restaurant/Bar/Lounge","4 - Hardest","5 - Unknown")))))</f>
        <v/>
      </c>
      <c r="G191" s="10" t="n"/>
      <c r="H191" s="10" t="n"/>
      <c r="I191" s="10" t="n"/>
      <c r="J191" s="10" t="n"/>
      <c r="K191" s="10" t="n"/>
      <c r="L191" s="10" t="n"/>
      <c r="M191" s="12" t="n"/>
      <c r="N191" s="10" t="n"/>
      <c r="O191" s="10" t="n"/>
    </row>
    <row r="192">
      <c r="A192" s="10" t="n"/>
      <c r="B192" s="10" t="n"/>
      <c r="C192" s="10" t="n"/>
      <c r="D192" s="10" t="n"/>
      <c r="E192" s="10" t="n"/>
      <c r="F192" s="11">
        <f>IF(E192="","",IF(E192="Authorize.net","1 - Slam dunk",IF(OR(E192="E-commerce",E192="B2B",E192="Vendor"),"2 - Strong",IF(E192="Retail","3 - Good",IF(E192="Restaurant/Bar/Lounge","4 - Hardest","5 - Unknown")))))</f>
        <v/>
      </c>
      <c r="G192" s="10" t="n"/>
      <c r="H192" s="10" t="n"/>
      <c r="I192" s="10" t="n"/>
      <c r="J192" s="10" t="n"/>
      <c r="K192" s="10" t="n"/>
      <c r="L192" s="10" t="n"/>
      <c r="M192" s="12" t="n"/>
      <c r="N192" s="10" t="n"/>
      <c r="O192" s="10" t="n"/>
    </row>
    <row r="193">
      <c r="A193" s="10" t="n"/>
      <c r="B193" s="10" t="n"/>
      <c r="C193" s="10" t="n"/>
      <c r="D193" s="10" t="n"/>
      <c r="E193" s="10" t="n"/>
      <c r="F193" s="11">
        <f>IF(E193="","",IF(E193="Authorize.net","1 - Slam dunk",IF(OR(E193="E-commerce",E193="B2B",E193="Vendor"),"2 - Strong",IF(E193="Retail","3 - Good",IF(E193="Restaurant/Bar/Lounge","4 - Hardest","5 - Unknown")))))</f>
        <v/>
      </c>
      <c r="G193" s="10" t="n"/>
      <c r="H193" s="10" t="n"/>
      <c r="I193" s="10" t="n"/>
      <c r="J193" s="10" t="n"/>
      <c r="K193" s="10" t="n"/>
      <c r="L193" s="10" t="n"/>
      <c r="M193" s="12" t="n"/>
      <c r="N193" s="10" t="n"/>
      <c r="O193" s="10" t="n"/>
    </row>
    <row r="194">
      <c r="A194" s="10" t="n"/>
      <c r="B194" s="10" t="n"/>
      <c r="C194" s="10" t="n"/>
      <c r="D194" s="10" t="n"/>
      <c r="E194" s="10" t="n"/>
      <c r="F194" s="11">
        <f>IF(E194="","",IF(E194="Authorize.net","1 - Slam dunk",IF(OR(E194="E-commerce",E194="B2B",E194="Vendor"),"2 - Strong",IF(E194="Retail","3 - Good",IF(E194="Restaurant/Bar/Lounge","4 - Hardest","5 - Unknown")))))</f>
        <v/>
      </c>
      <c r="G194" s="10" t="n"/>
      <c r="H194" s="10" t="n"/>
      <c r="I194" s="10" t="n"/>
      <c r="J194" s="10" t="n"/>
      <c r="K194" s="10" t="n"/>
      <c r="L194" s="10" t="n"/>
      <c r="M194" s="12" t="n"/>
      <c r="N194" s="10" t="n"/>
      <c r="O194" s="10" t="n"/>
    </row>
    <row r="195">
      <c r="A195" s="10" t="n"/>
      <c r="B195" s="10" t="n"/>
      <c r="C195" s="10" t="n"/>
      <c r="D195" s="10" t="n"/>
      <c r="E195" s="10" t="n"/>
      <c r="F195" s="11">
        <f>IF(E195="","",IF(E195="Authorize.net","1 - Slam dunk",IF(OR(E195="E-commerce",E195="B2B",E195="Vendor"),"2 - Strong",IF(E195="Retail","3 - Good",IF(E195="Restaurant/Bar/Lounge","4 - Hardest","5 - Unknown")))))</f>
        <v/>
      </c>
      <c r="G195" s="10" t="n"/>
      <c r="H195" s="10" t="n"/>
      <c r="I195" s="10" t="n"/>
      <c r="J195" s="10" t="n"/>
      <c r="K195" s="10" t="n"/>
      <c r="L195" s="10" t="n"/>
      <c r="M195" s="12" t="n"/>
      <c r="N195" s="10" t="n"/>
      <c r="O195" s="10" t="n"/>
    </row>
    <row r="196">
      <c r="A196" s="10" t="n"/>
      <c r="B196" s="10" t="n"/>
      <c r="C196" s="10" t="n"/>
      <c r="D196" s="10" t="n"/>
      <c r="E196" s="10" t="n"/>
      <c r="F196" s="11">
        <f>IF(E196="","",IF(E196="Authorize.net","1 - Slam dunk",IF(OR(E196="E-commerce",E196="B2B",E196="Vendor"),"2 - Strong",IF(E196="Retail","3 - Good",IF(E196="Restaurant/Bar/Lounge","4 - Hardest","5 - Unknown")))))</f>
        <v/>
      </c>
      <c r="G196" s="10" t="n"/>
      <c r="H196" s="10" t="n"/>
      <c r="I196" s="10" t="n"/>
      <c r="J196" s="10" t="n"/>
      <c r="K196" s="10" t="n"/>
      <c r="L196" s="10" t="n"/>
      <c r="M196" s="12" t="n"/>
      <c r="N196" s="10" t="n"/>
      <c r="O196" s="10" t="n"/>
    </row>
    <row r="197">
      <c r="A197" s="10" t="n"/>
      <c r="B197" s="10" t="n"/>
      <c r="C197" s="10" t="n"/>
      <c r="D197" s="10" t="n"/>
      <c r="E197" s="10" t="n"/>
      <c r="F197" s="11">
        <f>IF(E197="","",IF(E197="Authorize.net","1 - Slam dunk",IF(OR(E197="E-commerce",E197="B2B",E197="Vendor"),"2 - Strong",IF(E197="Retail","3 - Good",IF(E197="Restaurant/Bar/Lounge","4 - Hardest","5 - Unknown")))))</f>
        <v/>
      </c>
      <c r="G197" s="10" t="n"/>
      <c r="H197" s="10" t="n"/>
      <c r="I197" s="10" t="n"/>
      <c r="J197" s="10" t="n"/>
      <c r="K197" s="10" t="n"/>
      <c r="L197" s="10" t="n"/>
      <c r="M197" s="12" t="n"/>
      <c r="N197" s="10" t="n"/>
      <c r="O197" s="10" t="n"/>
    </row>
    <row r="198">
      <c r="A198" s="10" t="n"/>
      <c r="B198" s="10" t="n"/>
      <c r="C198" s="10" t="n"/>
      <c r="D198" s="10" t="n"/>
      <c r="E198" s="10" t="n"/>
      <c r="F198" s="11">
        <f>IF(E198="","",IF(E198="Authorize.net","1 - Slam dunk",IF(OR(E198="E-commerce",E198="B2B",E198="Vendor"),"2 - Strong",IF(E198="Retail","3 - Good",IF(E198="Restaurant/Bar/Lounge","4 - Hardest","5 - Unknown")))))</f>
        <v/>
      </c>
      <c r="G198" s="10" t="n"/>
      <c r="H198" s="10" t="n"/>
      <c r="I198" s="10" t="n"/>
      <c r="J198" s="10" t="n"/>
      <c r="K198" s="10" t="n"/>
      <c r="L198" s="10" t="n"/>
      <c r="M198" s="12" t="n"/>
      <c r="N198" s="10" t="n"/>
      <c r="O198" s="10" t="n"/>
    </row>
    <row r="199">
      <c r="A199" s="10" t="n"/>
      <c r="B199" s="10" t="n"/>
      <c r="C199" s="10" t="n"/>
      <c r="D199" s="10" t="n"/>
      <c r="E199" s="10" t="n"/>
      <c r="F199" s="11">
        <f>IF(E199="","",IF(E199="Authorize.net","1 - Slam dunk",IF(OR(E199="E-commerce",E199="B2B",E199="Vendor"),"2 - Strong",IF(E199="Retail","3 - Good",IF(E199="Restaurant/Bar/Lounge","4 - Hardest","5 - Unknown")))))</f>
        <v/>
      </c>
      <c r="G199" s="10" t="n"/>
      <c r="H199" s="10" t="n"/>
      <c r="I199" s="10" t="n"/>
      <c r="J199" s="10" t="n"/>
      <c r="K199" s="10" t="n"/>
      <c r="L199" s="10" t="n"/>
      <c r="M199" s="12" t="n"/>
      <c r="N199" s="10" t="n"/>
      <c r="O199" s="10" t="n"/>
    </row>
    <row r="200">
      <c r="A200" s="10" t="n"/>
      <c r="B200" s="10" t="n"/>
      <c r="C200" s="10" t="n"/>
      <c r="D200" s="10" t="n"/>
      <c r="E200" s="10" t="n"/>
      <c r="F200" s="11">
        <f>IF(E200="","",IF(E200="Authorize.net","1 - Slam dunk",IF(OR(E200="E-commerce",E200="B2B",E200="Vendor"),"2 - Strong",IF(E200="Retail","3 - Good",IF(E200="Restaurant/Bar/Lounge","4 - Hardest","5 - Unknown")))))</f>
        <v/>
      </c>
      <c r="G200" s="10" t="n"/>
      <c r="H200" s="10" t="n"/>
      <c r="I200" s="10" t="n"/>
      <c r="J200" s="10" t="n"/>
      <c r="K200" s="10" t="n"/>
      <c r="L200" s="10" t="n"/>
      <c r="M200" s="12" t="n"/>
      <c r="N200" s="10" t="n"/>
      <c r="O200" s="10" t="n"/>
    </row>
    <row r="201">
      <c r="A201" s="10" t="n"/>
      <c r="B201" s="10" t="n"/>
      <c r="C201" s="10" t="n"/>
      <c r="D201" s="10" t="n"/>
      <c r="E201" s="10" t="n"/>
      <c r="F201" s="11">
        <f>IF(E201="","",IF(E201="Authorize.net","1 - Slam dunk",IF(OR(E201="E-commerce",E201="B2B",E201="Vendor"),"2 - Strong",IF(E201="Retail","3 - Good",IF(E201="Restaurant/Bar/Lounge","4 - Hardest","5 - Unknown")))))</f>
        <v/>
      </c>
      <c r="G201" s="10" t="n"/>
      <c r="H201" s="10" t="n"/>
      <c r="I201" s="10" t="n"/>
      <c r="J201" s="10" t="n"/>
      <c r="K201" s="10" t="n"/>
      <c r="L201" s="10" t="n"/>
      <c r="M201" s="12" t="n"/>
      <c r="N201" s="10" t="n"/>
      <c r="O201" s="10" t="n"/>
    </row>
    <row r="202">
      <c r="A202" s="10" t="n"/>
      <c r="B202" s="10" t="n"/>
      <c r="C202" s="10" t="n"/>
      <c r="D202" s="10" t="n"/>
      <c r="E202" s="10" t="n"/>
      <c r="F202" s="11">
        <f>IF(E202="","",IF(E202="Authorize.net","1 - Slam dunk",IF(OR(E202="E-commerce",E202="B2B",E202="Vendor"),"2 - Strong",IF(E202="Retail","3 - Good",IF(E202="Restaurant/Bar/Lounge","4 - Hardest","5 - Unknown")))))</f>
        <v/>
      </c>
      <c r="G202" s="10" t="n"/>
      <c r="H202" s="10" t="n"/>
      <c r="I202" s="10" t="n"/>
      <c r="J202" s="10" t="n"/>
      <c r="K202" s="10" t="n"/>
      <c r="L202" s="10" t="n"/>
      <c r="M202" s="12" t="n"/>
      <c r="N202" s="10" t="n"/>
      <c r="O202" s="10" t="n"/>
    </row>
    <row r="203">
      <c r="A203" s="10" t="n"/>
      <c r="B203" s="10" t="n"/>
      <c r="C203" s="10" t="n"/>
      <c r="D203" s="10" t="n"/>
      <c r="E203" s="10" t="n"/>
      <c r="F203" s="11">
        <f>IF(E203="","",IF(E203="Authorize.net","1 - Slam dunk",IF(OR(E203="E-commerce",E203="B2B",E203="Vendor"),"2 - Strong",IF(E203="Retail","3 - Good",IF(E203="Restaurant/Bar/Lounge","4 - Hardest","5 - Unknown")))))</f>
        <v/>
      </c>
      <c r="G203" s="10" t="n"/>
      <c r="H203" s="10" t="n"/>
      <c r="I203" s="10" t="n"/>
      <c r="J203" s="10" t="n"/>
      <c r="K203" s="10" t="n"/>
      <c r="L203" s="10" t="n"/>
      <c r="M203" s="12" t="n"/>
      <c r="N203" s="10" t="n"/>
      <c r="O203" s="10" t="n"/>
    </row>
    <row r="204">
      <c r="A204" s="10" t="n"/>
      <c r="B204" s="10" t="n"/>
      <c r="C204" s="10" t="n"/>
      <c r="D204" s="10" t="n"/>
      <c r="E204" s="10" t="n"/>
      <c r="F204" s="11">
        <f>IF(E204="","",IF(E204="Authorize.net","1 - Slam dunk",IF(OR(E204="E-commerce",E204="B2B",E204="Vendor"),"2 - Strong",IF(E204="Retail","3 - Good",IF(E204="Restaurant/Bar/Lounge","4 - Hardest","5 - Unknown")))))</f>
        <v/>
      </c>
      <c r="G204" s="10" t="n"/>
      <c r="H204" s="10" t="n"/>
      <c r="I204" s="10" t="n"/>
      <c r="J204" s="10" t="n"/>
      <c r="K204" s="10" t="n"/>
      <c r="L204" s="10" t="n"/>
      <c r="M204" s="12" t="n"/>
      <c r="N204" s="10" t="n"/>
      <c r="O204" s="10" t="n"/>
    </row>
    <row r="205">
      <c r="A205" s="10" t="n"/>
      <c r="B205" s="10" t="n"/>
      <c r="C205" s="10" t="n"/>
      <c r="D205" s="10" t="n"/>
      <c r="E205" s="10" t="n"/>
      <c r="F205" s="11">
        <f>IF(E205="","",IF(E205="Authorize.net","1 - Slam dunk",IF(OR(E205="E-commerce",E205="B2B",E205="Vendor"),"2 - Strong",IF(E205="Retail","3 - Good",IF(E205="Restaurant/Bar/Lounge","4 - Hardest","5 - Unknown")))))</f>
        <v/>
      </c>
      <c r="G205" s="10" t="n"/>
      <c r="H205" s="10" t="n"/>
      <c r="I205" s="10" t="n"/>
      <c r="J205" s="10" t="n"/>
      <c r="K205" s="10" t="n"/>
      <c r="L205" s="10" t="n"/>
      <c r="M205" s="12" t="n"/>
      <c r="N205" s="10" t="n"/>
      <c r="O205" s="10" t="n"/>
    </row>
    <row r="206">
      <c r="A206" s="10" t="n"/>
      <c r="B206" s="10" t="n"/>
      <c r="C206" s="10" t="n"/>
      <c r="D206" s="10" t="n"/>
      <c r="E206" s="10" t="n"/>
      <c r="F206" s="11">
        <f>IF(E206="","",IF(E206="Authorize.net","1 - Slam dunk",IF(OR(E206="E-commerce",E206="B2B",E206="Vendor"),"2 - Strong",IF(E206="Retail","3 - Good",IF(E206="Restaurant/Bar/Lounge","4 - Hardest","5 - Unknown")))))</f>
        <v/>
      </c>
      <c r="G206" s="10" t="n"/>
      <c r="H206" s="10" t="n"/>
      <c r="I206" s="10" t="n"/>
      <c r="J206" s="10" t="n"/>
      <c r="K206" s="10" t="n"/>
      <c r="L206" s="10" t="n"/>
      <c r="M206" s="12" t="n"/>
      <c r="N206" s="10" t="n"/>
      <c r="O206" s="10" t="n"/>
    </row>
    <row r="207">
      <c r="A207" s="10" t="n"/>
      <c r="B207" s="10" t="n"/>
      <c r="C207" s="10" t="n"/>
      <c r="D207" s="10" t="n"/>
      <c r="E207" s="10" t="n"/>
      <c r="F207" s="11">
        <f>IF(E207="","",IF(E207="Authorize.net","1 - Slam dunk",IF(OR(E207="E-commerce",E207="B2B",E207="Vendor"),"2 - Strong",IF(E207="Retail","3 - Good",IF(E207="Restaurant/Bar/Lounge","4 - Hardest","5 - Unknown")))))</f>
        <v/>
      </c>
      <c r="G207" s="10" t="n"/>
      <c r="H207" s="10" t="n"/>
      <c r="I207" s="10" t="n"/>
      <c r="J207" s="10" t="n"/>
      <c r="K207" s="10" t="n"/>
      <c r="L207" s="10" t="n"/>
      <c r="M207" s="12" t="n"/>
      <c r="N207" s="10" t="n"/>
      <c r="O207" s="10" t="n"/>
    </row>
    <row r="208">
      <c r="A208" s="10" t="n"/>
      <c r="B208" s="10" t="n"/>
      <c r="C208" s="10" t="n"/>
      <c r="D208" s="10" t="n"/>
      <c r="E208" s="10" t="n"/>
      <c r="F208" s="11">
        <f>IF(E208="","",IF(E208="Authorize.net","1 - Slam dunk",IF(OR(E208="E-commerce",E208="B2B",E208="Vendor"),"2 - Strong",IF(E208="Retail","3 - Good",IF(E208="Restaurant/Bar/Lounge","4 - Hardest","5 - Unknown")))))</f>
        <v/>
      </c>
      <c r="G208" s="10" t="n"/>
      <c r="H208" s="10" t="n"/>
      <c r="I208" s="10" t="n"/>
      <c r="J208" s="10" t="n"/>
      <c r="K208" s="10" t="n"/>
      <c r="L208" s="10" t="n"/>
      <c r="M208" s="12" t="n"/>
      <c r="N208" s="10" t="n"/>
      <c r="O208" s="10" t="n"/>
    </row>
    <row r="209">
      <c r="A209" s="10" t="n"/>
      <c r="B209" s="10" t="n"/>
      <c r="C209" s="10" t="n"/>
      <c r="D209" s="10" t="n"/>
      <c r="E209" s="10" t="n"/>
      <c r="F209" s="11">
        <f>IF(E209="","",IF(E209="Authorize.net","1 - Slam dunk",IF(OR(E209="E-commerce",E209="B2B",E209="Vendor"),"2 - Strong",IF(E209="Retail","3 - Good",IF(E209="Restaurant/Bar/Lounge","4 - Hardest","5 - Unknown")))))</f>
        <v/>
      </c>
      <c r="G209" s="10" t="n"/>
      <c r="H209" s="10" t="n"/>
      <c r="I209" s="10" t="n"/>
      <c r="J209" s="10" t="n"/>
      <c r="K209" s="10" t="n"/>
      <c r="L209" s="10" t="n"/>
      <c r="M209" s="12" t="n"/>
      <c r="N209" s="10" t="n"/>
      <c r="O209" s="10" t="n"/>
    </row>
    <row r="210">
      <c r="A210" s="10" t="n"/>
      <c r="B210" s="10" t="n"/>
      <c r="C210" s="10" t="n"/>
      <c r="D210" s="10" t="n"/>
      <c r="E210" s="10" t="n"/>
      <c r="F210" s="11">
        <f>IF(E210="","",IF(E210="Authorize.net","1 - Slam dunk",IF(OR(E210="E-commerce",E210="B2B",E210="Vendor"),"2 - Strong",IF(E210="Retail","3 - Good",IF(E210="Restaurant/Bar/Lounge","4 - Hardest","5 - Unknown")))))</f>
        <v/>
      </c>
      <c r="G210" s="10" t="n"/>
      <c r="H210" s="10" t="n"/>
      <c r="I210" s="10" t="n"/>
      <c r="J210" s="10" t="n"/>
      <c r="K210" s="10" t="n"/>
      <c r="L210" s="10" t="n"/>
      <c r="M210" s="12" t="n"/>
      <c r="N210" s="10" t="n"/>
      <c r="O210" s="10" t="n"/>
    </row>
    <row r="211">
      <c r="A211" s="10" t="n"/>
      <c r="B211" s="10" t="n"/>
      <c r="C211" s="10" t="n"/>
      <c r="D211" s="10" t="n"/>
      <c r="E211" s="10" t="n"/>
      <c r="F211" s="11">
        <f>IF(E211="","",IF(E211="Authorize.net","1 - Slam dunk",IF(OR(E211="E-commerce",E211="B2B",E211="Vendor"),"2 - Strong",IF(E211="Retail","3 - Good",IF(E211="Restaurant/Bar/Lounge","4 - Hardest","5 - Unknown")))))</f>
        <v/>
      </c>
      <c r="G211" s="10" t="n"/>
      <c r="H211" s="10" t="n"/>
      <c r="I211" s="10" t="n"/>
      <c r="J211" s="10" t="n"/>
      <c r="K211" s="10" t="n"/>
      <c r="L211" s="10" t="n"/>
      <c r="M211" s="12" t="n"/>
      <c r="N211" s="10" t="n"/>
      <c r="O211" s="10" t="n"/>
    </row>
    <row r="212">
      <c r="A212" s="10" t="n"/>
      <c r="B212" s="10" t="n"/>
      <c r="C212" s="10" t="n"/>
      <c r="D212" s="10" t="n"/>
      <c r="E212" s="10" t="n"/>
      <c r="F212" s="11">
        <f>IF(E212="","",IF(E212="Authorize.net","1 - Slam dunk",IF(OR(E212="E-commerce",E212="B2B",E212="Vendor"),"2 - Strong",IF(E212="Retail","3 - Good",IF(E212="Restaurant/Bar/Lounge","4 - Hardest","5 - Unknown")))))</f>
        <v/>
      </c>
      <c r="G212" s="10" t="n"/>
      <c r="H212" s="10" t="n"/>
      <c r="I212" s="10" t="n"/>
      <c r="J212" s="10" t="n"/>
      <c r="K212" s="10" t="n"/>
      <c r="L212" s="10" t="n"/>
      <c r="M212" s="12" t="n"/>
      <c r="N212" s="10" t="n"/>
      <c r="O212" s="10" t="n"/>
    </row>
    <row r="213">
      <c r="A213" s="10" t="n"/>
      <c r="B213" s="10" t="n"/>
      <c r="C213" s="10" t="n"/>
      <c r="D213" s="10" t="n"/>
      <c r="E213" s="10" t="n"/>
      <c r="F213" s="11">
        <f>IF(E213="","",IF(E213="Authorize.net","1 - Slam dunk",IF(OR(E213="E-commerce",E213="B2B",E213="Vendor"),"2 - Strong",IF(E213="Retail","3 - Good",IF(E213="Restaurant/Bar/Lounge","4 - Hardest","5 - Unknown")))))</f>
        <v/>
      </c>
      <c r="G213" s="10" t="n"/>
      <c r="H213" s="10" t="n"/>
      <c r="I213" s="10" t="n"/>
      <c r="J213" s="10" t="n"/>
      <c r="K213" s="10" t="n"/>
      <c r="L213" s="10" t="n"/>
      <c r="M213" s="12" t="n"/>
      <c r="N213" s="10" t="n"/>
      <c r="O213" s="10" t="n"/>
    </row>
    <row r="214">
      <c r="A214" s="10" t="n"/>
      <c r="B214" s="10" t="n"/>
      <c r="C214" s="10" t="n"/>
      <c r="D214" s="10" t="n"/>
      <c r="E214" s="10" t="n"/>
      <c r="F214" s="11">
        <f>IF(E214="","",IF(E214="Authorize.net","1 - Slam dunk",IF(OR(E214="E-commerce",E214="B2B",E214="Vendor"),"2 - Strong",IF(E214="Retail","3 - Good",IF(E214="Restaurant/Bar/Lounge","4 - Hardest","5 - Unknown")))))</f>
        <v/>
      </c>
      <c r="G214" s="10" t="n"/>
      <c r="H214" s="10" t="n"/>
      <c r="I214" s="10" t="n"/>
      <c r="J214" s="10" t="n"/>
      <c r="K214" s="10" t="n"/>
      <c r="L214" s="10" t="n"/>
      <c r="M214" s="12" t="n"/>
      <c r="N214" s="10" t="n"/>
      <c r="O214" s="10" t="n"/>
    </row>
    <row r="215">
      <c r="A215" s="10" t="n"/>
      <c r="B215" s="10" t="n"/>
      <c r="C215" s="10" t="n"/>
      <c r="D215" s="10" t="n"/>
      <c r="E215" s="10" t="n"/>
      <c r="F215" s="11">
        <f>IF(E215="","",IF(E215="Authorize.net","1 - Slam dunk",IF(OR(E215="E-commerce",E215="B2B",E215="Vendor"),"2 - Strong",IF(E215="Retail","3 - Good",IF(E215="Restaurant/Bar/Lounge","4 - Hardest","5 - Unknown")))))</f>
        <v/>
      </c>
      <c r="G215" s="10" t="n"/>
      <c r="H215" s="10" t="n"/>
      <c r="I215" s="10" t="n"/>
      <c r="J215" s="10" t="n"/>
      <c r="K215" s="10" t="n"/>
      <c r="L215" s="10" t="n"/>
      <c r="M215" s="12" t="n"/>
      <c r="N215" s="10" t="n"/>
      <c r="O215" s="10" t="n"/>
    </row>
    <row r="216">
      <c r="A216" s="10" t="n"/>
      <c r="B216" s="10" t="n"/>
      <c r="C216" s="10" t="n"/>
      <c r="D216" s="10" t="n"/>
      <c r="E216" s="10" t="n"/>
      <c r="F216" s="11">
        <f>IF(E216="","",IF(E216="Authorize.net","1 - Slam dunk",IF(OR(E216="E-commerce",E216="B2B",E216="Vendor"),"2 - Strong",IF(E216="Retail","3 - Good",IF(E216="Restaurant/Bar/Lounge","4 - Hardest","5 - Unknown")))))</f>
        <v/>
      </c>
      <c r="G216" s="10" t="n"/>
      <c r="H216" s="10" t="n"/>
      <c r="I216" s="10" t="n"/>
      <c r="J216" s="10" t="n"/>
      <c r="K216" s="10" t="n"/>
      <c r="L216" s="10" t="n"/>
      <c r="M216" s="12" t="n"/>
      <c r="N216" s="10" t="n"/>
      <c r="O216" s="10" t="n"/>
    </row>
    <row r="217">
      <c r="A217" s="10" t="n"/>
      <c r="B217" s="10" t="n"/>
      <c r="C217" s="10" t="n"/>
      <c r="D217" s="10" t="n"/>
      <c r="E217" s="10" t="n"/>
      <c r="F217" s="11">
        <f>IF(E217="","",IF(E217="Authorize.net","1 - Slam dunk",IF(OR(E217="E-commerce",E217="B2B",E217="Vendor"),"2 - Strong",IF(E217="Retail","3 - Good",IF(E217="Restaurant/Bar/Lounge","4 - Hardest","5 - Unknown")))))</f>
        <v/>
      </c>
      <c r="G217" s="10" t="n"/>
      <c r="H217" s="10" t="n"/>
      <c r="I217" s="10" t="n"/>
      <c r="J217" s="10" t="n"/>
      <c r="K217" s="10" t="n"/>
      <c r="L217" s="10" t="n"/>
      <c r="M217" s="12" t="n"/>
      <c r="N217" s="10" t="n"/>
      <c r="O217" s="10" t="n"/>
    </row>
    <row r="218">
      <c r="A218" s="10" t="n"/>
      <c r="B218" s="10" t="n"/>
      <c r="C218" s="10" t="n"/>
      <c r="D218" s="10" t="n"/>
      <c r="E218" s="10" t="n"/>
      <c r="F218" s="11">
        <f>IF(E218="","",IF(E218="Authorize.net","1 - Slam dunk",IF(OR(E218="E-commerce",E218="B2B",E218="Vendor"),"2 - Strong",IF(E218="Retail","3 - Good",IF(E218="Restaurant/Bar/Lounge","4 - Hardest","5 - Unknown")))))</f>
        <v/>
      </c>
      <c r="G218" s="10" t="n"/>
      <c r="H218" s="10" t="n"/>
      <c r="I218" s="10" t="n"/>
      <c r="J218" s="10" t="n"/>
      <c r="K218" s="10" t="n"/>
      <c r="L218" s="10" t="n"/>
      <c r="M218" s="12" t="n"/>
      <c r="N218" s="10" t="n"/>
      <c r="O218" s="10" t="n"/>
    </row>
    <row r="219">
      <c r="A219" s="10" t="n"/>
      <c r="B219" s="10" t="n"/>
      <c r="C219" s="10" t="n"/>
      <c r="D219" s="10" t="n"/>
      <c r="E219" s="10" t="n"/>
      <c r="F219" s="11">
        <f>IF(E219="","",IF(E219="Authorize.net","1 - Slam dunk",IF(OR(E219="E-commerce",E219="B2B",E219="Vendor"),"2 - Strong",IF(E219="Retail","3 - Good",IF(E219="Restaurant/Bar/Lounge","4 - Hardest","5 - Unknown")))))</f>
        <v/>
      </c>
      <c r="G219" s="10" t="n"/>
      <c r="H219" s="10" t="n"/>
      <c r="I219" s="10" t="n"/>
      <c r="J219" s="10" t="n"/>
      <c r="K219" s="10" t="n"/>
      <c r="L219" s="10" t="n"/>
      <c r="M219" s="12" t="n"/>
      <c r="N219" s="10" t="n"/>
      <c r="O219" s="10" t="n"/>
    </row>
    <row r="220">
      <c r="A220" s="10" t="n"/>
      <c r="B220" s="10" t="n"/>
      <c r="C220" s="10" t="n"/>
      <c r="D220" s="10" t="n"/>
      <c r="E220" s="10" t="n"/>
      <c r="F220" s="11">
        <f>IF(E220="","",IF(E220="Authorize.net","1 - Slam dunk",IF(OR(E220="E-commerce",E220="B2B",E220="Vendor"),"2 - Strong",IF(E220="Retail","3 - Good",IF(E220="Restaurant/Bar/Lounge","4 - Hardest","5 - Unknown")))))</f>
        <v/>
      </c>
      <c r="G220" s="10" t="n"/>
      <c r="H220" s="10" t="n"/>
      <c r="I220" s="10" t="n"/>
      <c r="J220" s="10" t="n"/>
      <c r="K220" s="10" t="n"/>
      <c r="L220" s="10" t="n"/>
      <c r="M220" s="12" t="n"/>
      <c r="N220" s="10" t="n"/>
      <c r="O220" s="10" t="n"/>
    </row>
    <row r="221">
      <c r="A221" s="10" t="n"/>
      <c r="B221" s="10" t="n"/>
      <c r="C221" s="10" t="n"/>
      <c r="D221" s="10" t="n"/>
      <c r="E221" s="10" t="n"/>
      <c r="F221" s="11">
        <f>IF(E221="","",IF(E221="Authorize.net","1 - Slam dunk",IF(OR(E221="E-commerce",E221="B2B",E221="Vendor"),"2 - Strong",IF(E221="Retail","3 - Good",IF(E221="Restaurant/Bar/Lounge","4 - Hardest","5 - Unknown")))))</f>
        <v/>
      </c>
      <c r="G221" s="10" t="n"/>
      <c r="H221" s="10" t="n"/>
      <c r="I221" s="10" t="n"/>
      <c r="J221" s="10" t="n"/>
      <c r="K221" s="10" t="n"/>
      <c r="L221" s="10" t="n"/>
      <c r="M221" s="12" t="n"/>
      <c r="N221" s="10" t="n"/>
      <c r="O221" s="10" t="n"/>
    </row>
    <row r="222">
      <c r="A222" s="10" t="n"/>
      <c r="B222" s="10" t="n"/>
      <c r="C222" s="10" t="n"/>
      <c r="D222" s="10" t="n"/>
      <c r="E222" s="10" t="n"/>
      <c r="F222" s="11">
        <f>IF(E222="","",IF(E222="Authorize.net","1 - Slam dunk",IF(OR(E222="E-commerce",E222="B2B",E222="Vendor"),"2 - Strong",IF(E222="Retail","3 - Good",IF(E222="Restaurant/Bar/Lounge","4 - Hardest","5 - Unknown")))))</f>
        <v/>
      </c>
      <c r="G222" s="10" t="n"/>
      <c r="H222" s="10" t="n"/>
      <c r="I222" s="10" t="n"/>
      <c r="J222" s="10" t="n"/>
      <c r="K222" s="10" t="n"/>
      <c r="L222" s="10" t="n"/>
      <c r="M222" s="12" t="n"/>
      <c r="N222" s="10" t="n"/>
      <c r="O222" s="10" t="n"/>
    </row>
    <row r="223">
      <c r="A223" s="10" t="n"/>
      <c r="B223" s="10" t="n"/>
      <c r="C223" s="10" t="n"/>
      <c r="D223" s="10" t="n"/>
      <c r="E223" s="10" t="n"/>
      <c r="F223" s="11">
        <f>IF(E223="","",IF(E223="Authorize.net","1 - Slam dunk",IF(OR(E223="E-commerce",E223="B2B",E223="Vendor"),"2 - Strong",IF(E223="Retail","3 - Good",IF(E223="Restaurant/Bar/Lounge","4 - Hardest","5 - Unknown")))))</f>
        <v/>
      </c>
      <c r="G223" s="10" t="n"/>
      <c r="H223" s="10" t="n"/>
      <c r="I223" s="10" t="n"/>
      <c r="J223" s="10" t="n"/>
      <c r="K223" s="10" t="n"/>
      <c r="L223" s="10" t="n"/>
      <c r="M223" s="12" t="n"/>
      <c r="N223" s="10" t="n"/>
      <c r="O223" s="10" t="n"/>
    </row>
    <row r="224">
      <c r="A224" s="10" t="n"/>
      <c r="B224" s="10" t="n"/>
      <c r="C224" s="10" t="n"/>
      <c r="D224" s="10" t="n"/>
      <c r="E224" s="10" t="n"/>
      <c r="F224" s="11">
        <f>IF(E224="","",IF(E224="Authorize.net","1 - Slam dunk",IF(OR(E224="E-commerce",E224="B2B",E224="Vendor"),"2 - Strong",IF(E224="Retail","3 - Good",IF(E224="Restaurant/Bar/Lounge","4 - Hardest","5 - Unknown")))))</f>
        <v/>
      </c>
      <c r="G224" s="10" t="n"/>
      <c r="H224" s="10" t="n"/>
      <c r="I224" s="10" t="n"/>
      <c r="J224" s="10" t="n"/>
      <c r="K224" s="10" t="n"/>
      <c r="L224" s="10" t="n"/>
      <c r="M224" s="12" t="n"/>
      <c r="N224" s="10" t="n"/>
      <c r="O224" s="10" t="n"/>
    </row>
    <row r="225">
      <c r="A225" s="10" t="n"/>
      <c r="B225" s="10" t="n"/>
      <c r="C225" s="10" t="n"/>
      <c r="D225" s="10" t="n"/>
      <c r="E225" s="10" t="n"/>
      <c r="F225" s="11">
        <f>IF(E225="","",IF(E225="Authorize.net","1 - Slam dunk",IF(OR(E225="E-commerce",E225="B2B",E225="Vendor"),"2 - Strong",IF(E225="Retail","3 - Good",IF(E225="Restaurant/Bar/Lounge","4 - Hardest","5 - Unknown")))))</f>
        <v/>
      </c>
      <c r="G225" s="10" t="n"/>
      <c r="H225" s="10" t="n"/>
      <c r="I225" s="10" t="n"/>
      <c r="J225" s="10" t="n"/>
      <c r="K225" s="10" t="n"/>
      <c r="L225" s="10" t="n"/>
      <c r="M225" s="12" t="n"/>
      <c r="N225" s="10" t="n"/>
      <c r="O225" s="10" t="n"/>
    </row>
    <row r="226">
      <c r="A226" s="10" t="n"/>
      <c r="B226" s="10" t="n"/>
      <c r="C226" s="10" t="n"/>
      <c r="D226" s="10" t="n"/>
      <c r="E226" s="10" t="n"/>
      <c r="F226" s="11">
        <f>IF(E226="","",IF(E226="Authorize.net","1 - Slam dunk",IF(OR(E226="E-commerce",E226="B2B",E226="Vendor"),"2 - Strong",IF(E226="Retail","3 - Good",IF(E226="Restaurant/Bar/Lounge","4 - Hardest","5 - Unknown")))))</f>
        <v/>
      </c>
      <c r="G226" s="10" t="n"/>
      <c r="H226" s="10" t="n"/>
      <c r="I226" s="10" t="n"/>
      <c r="J226" s="10" t="n"/>
      <c r="K226" s="10" t="n"/>
      <c r="L226" s="10" t="n"/>
      <c r="M226" s="12" t="n"/>
      <c r="N226" s="10" t="n"/>
      <c r="O226" s="10" t="n"/>
    </row>
    <row r="227">
      <c r="A227" s="10" t="n"/>
      <c r="B227" s="10" t="n"/>
      <c r="C227" s="10" t="n"/>
      <c r="D227" s="10" t="n"/>
      <c r="E227" s="10" t="n"/>
      <c r="F227" s="11">
        <f>IF(E227="","",IF(E227="Authorize.net","1 - Slam dunk",IF(OR(E227="E-commerce",E227="B2B",E227="Vendor"),"2 - Strong",IF(E227="Retail","3 - Good",IF(E227="Restaurant/Bar/Lounge","4 - Hardest","5 - Unknown")))))</f>
        <v/>
      </c>
      <c r="G227" s="10" t="n"/>
      <c r="H227" s="10" t="n"/>
      <c r="I227" s="10" t="n"/>
      <c r="J227" s="10" t="n"/>
      <c r="K227" s="10" t="n"/>
      <c r="L227" s="10" t="n"/>
      <c r="M227" s="12" t="n"/>
      <c r="N227" s="10" t="n"/>
      <c r="O227" s="10" t="n"/>
    </row>
    <row r="228">
      <c r="A228" s="10" t="n"/>
      <c r="B228" s="10" t="n"/>
      <c r="C228" s="10" t="n"/>
      <c r="D228" s="10" t="n"/>
      <c r="E228" s="10" t="n"/>
      <c r="F228" s="11">
        <f>IF(E228="","",IF(E228="Authorize.net","1 - Slam dunk",IF(OR(E228="E-commerce",E228="B2B",E228="Vendor"),"2 - Strong",IF(E228="Retail","3 - Good",IF(E228="Restaurant/Bar/Lounge","4 - Hardest","5 - Unknown")))))</f>
        <v/>
      </c>
      <c r="G228" s="10" t="n"/>
      <c r="H228" s="10" t="n"/>
      <c r="I228" s="10" t="n"/>
      <c r="J228" s="10" t="n"/>
      <c r="K228" s="10" t="n"/>
      <c r="L228" s="10" t="n"/>
      <c r="M228" s="12" t="n"/>
      <c r="N228" s="10" t="n"/>
      <c r="O228" s="10" t="n"/>
    </row>
    <row r="229">
      <c r="A229" s="10" t="n"/>
      <c r="B229" s="10" t="n"/>
      <c r="C229" s="10" t="n"/>
      <c r="D229" s="10" t="n"/>
      <c r="E229" s="10" t="n"/>
      <c r="F229" s="11">
        <f>IF(E229="","",IF(E229="Authorize.net","1 - Slam dunk",IF(OR(E229="E-commerce",E229="B2B",E229="Vendor"),"2 - Strong",IF(E229="Retail","3 - Good",IF(E229="Restaurant/Bar/Lounge","4 - Hardest","5 - Unknown")))))</f>
        <v/>
      </c>
      <c r="G229" s="10" t="n"/>
      <c r="H229" s="10" t="n"/>
      <c r="I229" s="10" t="n"/>
      <c r="J229" s="10" t="n"/>
      <c r="K229" s="10" t="n"/>
      <c r="L229" s="10" t="n"/>
      <c r="M229" s="12" t="n"/>
      <c r="N229" s="10" t="n"/>
      <c r="O229" s="10" t="n"/>
    </row>
    <row r="230">
      <c r="A230" s="10" t="n"/>
      <c r="B230" s="10" t="n"/>
      <c r="C230" s="10" t="n"/>
      <c r="D230" s="10" t="n"/>
      <c r="E230" s="10" t="n"/>
      <c r="F230" s="11">
        <f>IF(E230="","",IF(E230="Authorize.net","1 - Slam dunk",IF(OR(E230="E-commerce",E230="B2B",E230="Vendor"),"2 - Strong",IF(E230="Retail","3 - Good",IF(E230="Restaurant/Bar/Lounge","4 - Hardest","5 - Unknown")))))</f>
        <v/>
      </c>
      <c r="G230" s="10" t="n"/>
      <c r="H230" s="10" t="n"/>
      <c r="I230" s="10" t="n"/>
      <c r="J230" s="10" t="n"/>
      <c r="K230" s="10" t="n"/>
      <c r="L230" s="10" t="n"/>
      <c r="M230" s="12" t="n"/>
      <c r="N230" s="10" t="n"/>
      <c r="O230" s="10" t="n"/>
    </row>
    <row r="231">
      <c r="A231" s="10" t="n"/>
      <c r="B231" s="10" t="n"/>
      <c r="C231" s="10" t="n"/>
      <c r="D231" s="10" t="n"/>
      <c r="E231" s="10" t="n"/>
      <c r="F231" s="11">
        <f>IF(E231="","",IF(E231="Authorize.net","1 - Slam dunk",IF(OR(E231="E-commerce",E231="B2B",E231="Vendor"),"2 - Strong",IF(E231="Retail","3 - Good",IF(E231="Restaurant/Bar/Lounge","4 - Hardest","5 - Unknown")))))</f>
        <v/>
      </c>
      <c r="G231" s="10" t="n"/>
      <c r="H231" s="10" t="n"/>
      <c r="I231" s="10" t="n"/>
      <c r="J231" s="10" t="n"/>
      <c r="K231" s="10" t="n"/>
      <c r="L231" s="10" t="n"/>
      <c r="M231" s="12" t="n"/>
      <c r="N231" s="10" t="n"/>
      <c r="O231" s="10" t="n"/>
    </row>
    <row r="232">
      <c r="A232" s="10" t="n"/>
      <c r="B232" s="10" t="n"/>
      <c r="C232" s="10" t="n"/>
      <c r="D232" s="10" t="n"/>
      <c r="E232" s="10" t="n"/>
      <c r="F232" s="11">
        <f>IF(E232="","",IF(E232="Authorize.net","1 - Slam dunk",IF(OR(E232="E-commerce",E232="B2B",E232="Vendor"),"2 - Strong",IF(E232="Retail","3 - Good",IF(E232="Restaurant/Bar/Lounge","4 - Hardest","5 - Unknown")))))</f>
        <v/>
      </c>
      <c r="G232" s="10" t="n"/>
      <c r="H232" s="10" t="n"/>
      <c r="I232" s="10" t="n"/>
      <c r="J232" s="10" t="n"/>
      <c r="K232" s="10" t="n"/>
      <c r="L232" s="10" t="n"/>
      <c r="M232" s="12" t="n"/>
      <c r="N232" s="10" t="n"/>
      <c r="O232" s="10" t="n"/>
    </row>
    <row r="233">
      <c r="A233" s="10" t="n"/>
      <c r="B233" s="10" t="n"/>
      <c r="C233" s="10" t="n"/>
      <c r="D233" s="10" t="n"/>
      <c r="E233" s="10" t="n"/>
      <c r="F233" s="11">
        <f>IF(E233="","",IF(E233="Authorize.net","1 - Slam dunk",IF(OR(E233="E-commerce",E233="B2B",E233="Vendor"),"2 - Strong",IF(E233="Retail","3 - Good",IF(E233="Restaurant/Bar/Lounge","4 - Hardest","5 - Unknown")))))</f>
        <v/>
      </c>
      <c r="G233" s="10" t="n"/>
      <c r="H233" s="10" t="n"/>
      <c r="I233" s="10" t="n"/>
      <c r="J233" s="10" t="n"/>
      <c r="K233" s="10" t="n"/>
      <c r="L233" s="10" t="n"/>
      <c r="M233" s="12" t="n"/>
      <c r="N233" s="10" t="n"/>
      <c r="O233" s="10" t="n"/>
    </row>
    <row r="234">
      <c r="A234" s="10" t="n"/>
      <c r="B234" s="10" t="n"/>
      <c r="C234" s="10" t="n"/>
      <c r="D234" s="10" t="n"/>
      <c r="E234" s="10" t="n"/>
      <c r="F234" s="11">
        <f>IF(E234="","",IF(E234="Authorize.net","1 - Slam dunk",IF(OR(E234="E-commerce",E234="B2B",E234="Vendor"),"2 - Strong",IF(E234="Retail","3 - Good",IF(E234="Restaurant/Bar/Lounge","4 - Hardest","5 - Unknown")))))</f>
        <v/>
      </c>
      <c r="G234" s="10" t="n"/>
      <c r="H234" s="10" t="n"/>
      <c r="I234" s="10" t="n"/>
      <c r="J234" s="10" t="n"/>
      <c r="K234" s="10" t="n"/>
      <c r="L234" s="10" t="n"/>
      <c r="M234" s="12" t="n"/>
      <c r="N234" s="10" t="n"/>
      <c r="O234" s="10" t="n"/>
    </row>
    <row r="235">
      <c r="A235" s="10" t="n"/>
      <c r="B235" s="10" t="n"/>
      <c r="C235" s="10" t="n"/>
      <c r="D235" s="10" t="n"/>
      <c r="E235" s="10" t="n"/>
      <c r="F235" s="11">
        <f>IF(E235="","",IF(E235="Authorize.net","1 - Slam dunk",IF(OR(E235="E-commerce",E235="B2B",E235="Vendor"),"2 - Strong",IF(E235="Retail","3 - Good",IF(E235="Restaurant/Bar/Lounge","4 - Hardest","5 - Unknown")))))</f>
        <v/>
      </c>
      <c r="G235" s="10" t="n"/>
      <c r="H235" s="10" t="n"/>
      <c r="I235" s="10" t="n"/>
      <c r="J235" s="10" t="n"/>
      <c r="K235" s="10" t="n"/>
      <c r="L235" s="10" t="n"/>
      <c r="M235" s="12" t="n"/>
      <c r="N235" s="10" t="n"/>
      <c r="O235" s="10" t="n"/>
    </row>
    <row r="236">
      <c r="A236" s="10" t="n"/>
      <c r="B236" s="10" t="n"/>
      <c r="C236" s="10" t="n"/>
      <c r="D236" s="10" t="n"/>
      <c r="E236" s="10" t="n"/>
      <c r="F236" s="11">
        <f>IF(E236="","",IF(E236="Authorize.net","1 - Slam dunk",IF(OR(E236="E-commerce",E236="B2B",E236="Vendor"),"2 - Strong",IF(E236="Retail","3 - Good",IF(E236="Restaurant/Bar/Lounge","4 - Hardest","5 - Unknown")))))</f>
        <v/>
      </c>
      <c r="G236" s="10" t="n"/>
      <c r="H236" s="10" t="n"/>
      <c r="I236" s="10" t="n"/>
      <c r="J236" s="10" t="n"/>
      <c r="K236" s="10" t="n"/>
      <c r="L236" s="10" t="n"/>
      <c r="M236" s="12" t="n"/>
      <c r="N236" s="10" t="n"/>
      <c r="O236" s="10" t="n"/>
    </row>
    <row r="237">
      <c r="A237" s="10" t="n"/>
      <c r="B237" s="10" t="n"/>
      <c r="C237" s="10" t="n"/>
      <c r="D237" s="10" t="n"/>
      <c r="E237" s="10" t="n"/>
      <c r="F237" s="11">
        <f>IF(E237="","",IF(E237="Authorize.net","1 - Slam dunk",IF(OR(E237="E-commerce",E237="B2B",E237="Vendor"),"2 - Strong",IF(E237="Retail","3 - Good",IF(E237="Restaurant/Bar/Lounge","4 - Hardest","5 - Unknown")))))</f>
        <v/>
      </c>
      <c r="G237" s="10" t="n"/>
      <c r="H237" s="10" t="n"/>
      <c r="I237" s="10" t="n"/>
      <c r="J237" s="10" t="n"/>
      <c r="K237" s="10" t="n"/>
      <c r="L237" s="10" t="n"/>
      <c r="M237" s="12" t="n"/>
      <c r="N237" s="10" t="n"/>
      <c r="O237" s="10" t="n"/>
    </row>
    <row r="238">
      <c r="A238" s="10" t="n"/>
      <c r="B238" s="10" t="n"/>
      <c r="C238" s="10" t="n"/>
      <c r="D238" s="10" t="n"/>
      <c r="E238" s="10" t="n"/>
      <c r="F238" s="11">
        <f>IF(E238="","",IF(E238="Authorize.net","1 - Slam dunk",IF(OR(E238="E-commerce",E238="B2B",E238="Vendor"),"2 - Strong",IF(E238="Retail","3 - Good",IF(E238="Restaurant/Bar/Lounge","4 - Hardest","5 - Unknown")))))</f>
        <v/>
      </c>
      <c r="G238" s="10" t="n"/>
      <c r="H238" s="10" t="n"/>
      <c r="I238" s="10" t="n"/>
      <c r="J238" s="10" t="n"/>
      <c r="K238" s="10" t="n"/>
      <c r="L238" s="10" t="n"/>
      <c r="M238" s="12" t="n"/>
      <c r="N238" s="10" t="n"/>
      <c r="O238" s="10" t="n"/>
    </row>
    <row r="239">
      <c r="A239" s="10" t="n"/>
      <c r="B239" s="10" t="n"/>
      <c r="C239" s="10" t="n"/>
      <c r="D239" s="10" t="n"/>
      <c r="E239" s="10" t="n"/>
      <c r="F239" s="11">
        <f>IF(E239="","",IF(E239="Authorize.net","1 - Slam dunk",IF(OR(E239="E-commerce",E239="B2B",E239="Vendor"),"2 - Strong",IF(E239="Retail","3 - Good",IF(E239="Restaurant/Bar/Lounge","4 - Hardest","5 - Unknown")))))</f>
        <v/>
      </c>
      <c r="G239" s="10" t="n"/>
      <c r="H239" s="10" t="n"/>
      <c r="I239" s="10" t="n"/>
      <c r="J239" s="10" t="n"/>
      <c r="K239" s="10" t="n"/>
      <c r="L239" s="10" t="n"/>
      <c r="M239" s="12" t="n"/>
      <c r="N239" s="10" t="n"/>
      <c r="O239" s="10" t="n"/>
    </row>
    <row r="240">
      <c r="A240" s="10" t="n"/>
      <c r="B240" s="10" t="n"/>
      <c r="C240" s="10" t="n"/>
      <c r="D240" s="10" t="n"/>
      <c r="E240" s="10" t="n"/>
      <c r="F240" s="11">
        <f>IF(E240="","",IF(E240="Authorize.net","1 - Slam dunk",IF(OR(E240="E-commerce",E240="B2B",E240="Vendor"),"2 - Strong",IF(E240="Retail","3 - Good",IF(E240="Restaurant/Bar/Lounge","4 - Hardest","5 - Unknown")))))</f>
        <v/>
      </c>
      <c r="G240" s="10" t="n"/>
      <c r="H240" s="10" t="n"/>
      <c r="I240" s="10" t="n"/>
      <c r="J240" s="10" t="n"/>
      <c r="K240" s="10" t="n"/>
      <c r="L240" s="10" t="n"/>
      <c r="M240" s="12" t="n"/>
      <c r="N240" s="10" t="n"/>
      <c r="O240" s="10" t="n"/>
    </row>
    <row r="241">
      <c r="A241" s="10" t="n"/>
      <c r="B241" s="10" t="n"/>
      <c r="C241" s="10" t="n"/>
      <c r="D241" s="10" t="n"/>
      <c r="E241" s="10" t="n"/>
      <c r="F241" s="11">
        <f>IF(E241="","",IF(E241="Authorize.net","1 - Slam dunk",IF(OR(E241="E-commerce",E241="B2B",E241="Vendor"),"2 - Strong",IF(E241="Retail","3 - Good",IF(E241="Restaurant/Bar/Lounge","4 - Hardest","5 - Unknown")))))</f>
        <v/>
      </c>
      <c r="G241" s="10" t="n"/>
      <c r="H241" s="10" t="n"/>
      <c r="I241" s="10" t="n"/>
      <c r="J241" s="10" t="n"/>
      <c r="K241" s="10" t="n"/>
      <c r="L241" s="10" t="n"/>
      <c r="M241" s="12" t="n"/>
      <c r="N241" s="10" t="n"/>
      <c r="O241" s="10" t="n"/>
    </row>
    <row r="242">
      <c r="A242" s="10" t="n"/>
      <c r="B242" s="10" t="n"/>
      <c r="C242" s="10" t="n"/>
      <c r="D242" s="10" t="n"/>
      <c r="E242" s="10" t="n"/>
      <c r="F242" s="11">
        <f>IF(E242="","",IF(E242="Authorize.net","1 - Slam dunk",IF(OR(E242="E-commerce",E242="B2B",E242="Vendor"),"2 - Strong",IF(E242="Retail","3 - Good",IF(E242="Restaurant/Bar/Lounge","4 - Hardest","5 - Unknown")))))</f>
        <v/>
      </c>
      <c r="G242" s="10" t="n"/>
      <c r="H242" s="10" t="n"/>
      <c r="I242" s="10" t="n"/>
      <c r="J242" s="10" t="n"/>
      <c r="K242" s="10" t="n"/>
      <c r="L242" s="10" t="n"/>
      <c r="M242" s="12" t="n"/>
      <c r="N242" s="10" t="n"/>
      <c r="O242" s="10" t="n"/>
    </row>
    <row r="243">
      <c r="A243" s="10" t="n"/>
      <c r="B243" s="10" t="n"/>
      <c r="C243" s="10" t="n"/>
      <c r="D243" s="10" t="n"/>
      <c r="E243" s="10" t="n"/>
      <c r="F243" s="11">
        <f>IF(E243="","",IF(E243="Authorize.net","1 - Slam dunk",IF(OR(E243="E-commerce",E243="B2B",E243="Vendor"),"2 - Strong",IF(E243="Retail","3 - Good",IF(E243="Restaurant/Bar/Lounge","4 - Hardest","5 - Unknown")))))</f>
        <v/>
      </c>
      <c r="G243" s="10" t="n"/>
      <c r="H243" s="10" t="n"/>
      <c r="I243" s="10" t="n"/>
      <c r="J243" s="10" t="n"/>
      <c r="K243" s="10" t="n"/>
      <c r="L243" s="10" t="n"/>
      <c r="M243" s="12" t="n"/>
      <c r="N243" s="10" t="n"/>
      <c r="O243" s="10" t="n"/>
    </row>
    <row r="244">
      <c r="A244" s="10" t="n"/>
      <c r="B244" s="10" t="n"/>
      <c r="C244" s="10" t="n"/>
      <c r="D244" s="10" t="n"/>
      <c r="E244" s="10" t="n"/>
      <c r="F244" s="11">
        <f>IF(E244="","",IF(E244="Authorize.net","1 - Slam dunk",IF(OR(E244="E-commerce",E244="B2B",E244="Vendor"),"2 - Strong",IF(E244="Retail","3 - Good",IF(E244="Restaurant/Bar/Lounge","4 - Hardest","5 - Unknown")))))</f>
        <v/>
      </c>
      <c r="G244" s="10" t="n"/>
      <c r="H244" s="10" t="n"/>
      <c r="I244" s="10" t="n"/>
      <c r="J244" s="10" t="n"/>
      <c r="K244" s="10" t="n"/>
      <c r="L244" s="10" t="n"/>
      <c r="M244" s="12" t="n"/>
      <c r="N244" s="10" t="n"/>
      <c r="O244" s="10" t="n"/>
    </row>
    <row r="245">
      <c r="A245" s="10" t="n"/>
      <c r="B245" s="10" t="n"/>
      <c r="C245" s="10" t="n"/>
      <c r="D245" s="10" t="n"/>
      <c r="E245" s="10" t="n"/>
      <c r="F245" s="11">
        <f>IF(E245="","",IF(E245="Authorize.net","1 - Slam dunk",IF(OR(E245="E-commerce",E245="B2B",E245="Vendor"),"2 - Strong",IF(E245="Retail","3 - Good",IF(E245="Restaurant/Bar/Lounge","4 - Hardest","5 - Unknown")))))</f>
        <v/>
      </c>
      <c r="G245" s="10" t="n"/>
      <c r="H245" s="10" t="n"/>
      <c r="I245" s="10" t="n"/>
      <c r="J245" s="10" t="n"/>
      <c r="K245" s="10" t="n"/>
      <c r="L245" s="10" t="n"/>
      <c r="M245" s="12" t="n"/>
      <c r="N245" s="10" t="n"/>
      <c r="O245" s="10" t="n"/>
    </row>
    <row r="246">
      <c r="A246" s="10" t="n"/>
      <c r="B246" s="10" t="n"/>
      <c r="C246" s="10" t="n"/>
      <c r="D246" s="10" t="n"/>
      <c r="E246" s="10" t="n"/>
      <c r="F246" s="11">
        <f>IF(E246="","",IF(E246="Authorize.net","1 - Slam dunk",IF(OR(E246="E-commerce",E246="B2B",E246="Vendor"),"2 - Strong",IF(E246="Retail","3 - Good",IF(E246="Restaurant/Bar/Lounge","4 - Hardest","5 - Unknown")))))</f>
        <v/>
      </c>
      <c r="G246" s="10" t="n"/>
      <c r="H246" s="10" t="n"/>
      <c r="I246" s="10" t="n"/>
      <c r="J246" s="10" t="n"/>
      <c r="K246" s="10" t="n"/>
      <c r="L246" s="10" t="n"/>
      <c r="M246" s="12" t="n"/>
      <c r="N246" s="10" t="n"/>
      <c r="O246" s="10" t="n"/>
    </row>
    <row r="247">
      <c r="A247" s="10" t="n"/>
      <c r="B247" s="10" t="n"/>
      <c r="C247" s="10" t="n"/>
      <c r="D247" s="10" t="n"/>
      <c r="E247" s="10" t="n"/>
      <c r="F247" s="11">
        <f>IF(E247="","",IF(E247="Authorize.net","1 - Slam dunk",IF(OR(E247="E-commerce",E247="B2B",E247="Vendor"),"2 - Strong",IF(E247="Retail","3 - Good",IF(E247="Restaurant/Bar/Lounge","4 - Hardest","5 - Unknown")))))</f>
        <v/>
      </c>
      <c r="G247" s="10" t="n"/>
      <c r="H247" s="10" t="n"/>
      <c r="I247" s="10" t="n"/>
      <c r="J247" s="10" t="n"/>
      <c r="K247" s="10" t="n"/>
      <c r="L247" s="10" t="n"/>
      <c r="M247" s="12" t="n"/>
      <c r="N247" s="10" t="n"/>
      <c r="O247" s="10" t="n"/>
    </row>
    <row r="248">
      <c r="A248" s="10" t="n"/>
      <c r="B248" s="10" t="n"/>
      <c r="C248" s="10" t="n"/>
      <c r="D248" s="10" t="n"/>
      <c r="E248" s="10" t="n"/>
      <c r="F248" s="11">
        <f>IF(E248="","",IF(E248="Authorize.net","1 - Slam dunk",IF(OR(E248="E-commerce",E248="B2B",E248="Vendor"),"2 - Strong",IF(E248="Retail","3 - Good",IF(E248="Restaurant/Bar/Lounge","4 - Hardest","5 - Unknown")))))</f>
        <v/>
      </c>
      <c r="G248" s="10" t="n"/>
      <c r="H248" s="10" t="n"/>
      <c r="I248" s="10" t="n"/>
      <c r="J248" s="10" t="n"/>
      <c r="K248" s="10" t="n"/>
      <c r="L248" s="10" t="n"/>
      <c r="M248" s="12" t="n"/>
      <c r="N248" s="10" t="n"/>
      <c r="O248" s="10" t="n"/>
    </row>
    <row r="249">
      <c r="A249" s="10" t="n"/>
      <c r="B249" s="10" t="n"/>
      <c r="C249" s="10" t="n"/>
      <c r="D249" s="10" t="n"/>
      <c r="E249" s="10" t="n"/>
      <c r="F249" s="11">
        <f>IF(E249="","",IF(E249="Authorize.net","1 - Slam dunk",IF(OR(E249="E-commerce",E249="B2B",E249="Vendor"),"2 - Strong",IF(E249="Retail","3 - Good",IF(E249="Restaurant/Bar/Lounge","4 - Hardest","5 - Unknown")))))</f>
        <v/>
      </c>
      <c r="G249" s="10" t="n"/>
      <c r="H249" s="10" t="n"/>
      <c r="I249" s="10" t="n"/>
      <c r="J249" s="10" t="n"/>
      <c r="K249" s="10" t="n"/>
      <c r="L249" s="10" t="n"/>
      <c r="M249" s="12" t="n"/>
      <c r="N249" s="10" t="n"/>
      <c r="O249" s="10" t="n"/>
    </row>
    <row r="250">
      <c r="A250" s="10" t="n"/>
      <c r="B250" s="10" t="n"/>
      <c r="C250" s="10" t="n"/>
      <c r="D250" s="10" t="n"/>
      <c r="E250" s="10" t="n"/>
      <c r="F250" s="11">
        <f>IF(E250="","",IF(E250="Authorize.net","1 - Slam dunk",IF(OR(E250="E-commerce",E250="B2B",E250="Vendor"),"2 - Strong",IF(E250="Retail","3 - Good",IF(E250="Restaurant/Bar/Lounge","4 - Hardest","5 - Unknown")))))</f>
        <v/>
      </c>
      <c r="G250" s="10" t="n"/>
      <c r="H250" s="10" t="n"/>
      <c r="I250" s="10" t="n"/>
      <c r="J250" s="10" t="n"/>
      <c r="K250" s="10" t="n"/>
      <c r="L250" s="10" t="n"/>
      <c r="M250" s="12" t="n"/>
      <c r="N250" s="10" t="n"/>
      <c r="O250" s="10" t="n"/>
    </row>
    <row r="251">
      <c r="A251" s="10" t="n"/>
      <c r="B251" s="10" t="n"/>
      <c r="C251" s="10" t="n"/>
      <c r="D251" s="10" t="n"/>
      <c r="E251" s="10" t="n"/>
      <c r="F251" s="11">
        <f>IF(E251="","",IF(E251="Authorize.net","1 - Slam dunk",IF(OR(E251="E-commerce",E251="B2B",E251="Vendor"),"2 - Strong",IF(E251="Retail","3 - Good",IF(E251="Restaurant/Bar/Lounge","4 - Hardest","5 - Unknown")))))</f>
        <v/>
      </c>
      <c r="G251" s="10" t="n"/>
      <c r="H251" s="10" t="n"/>
      <c r="I251" s="10" t="n"/>
      <c r="J251" s="10" t="n"/>
      <c r="K251" s="10" t="n"/>
      <c r="L251" s="10" t="n"/>
      <c r="M251" s="12" t="n"/>
      <c r="N251" s="10" t="n"/>
      <c r="O251" s="10" t="n"/>
    </row>
    <row r="252">
      <c r="A252" s="10" t="n"/>
      <c r="B252" s="10" t="n"/>
      <c r="C252" s="10" t="n"/>
      <c r="D252" s="10" t="n"/>
      <c r="E252" s="10" t="n"/>
      <c r="F252" s="11">
        <f>IF(E252="","",IF(E252="Authorize.net","1 - Slam dunk",IF(OR(E252="E-commerce",E252="B2B",E252="Vendor"),"2 - Strong",IF(E252="Retail","3 - Good",IF(E252="Restaurant/Bar/Lounge","4 - Hardest","5 - Unknown")))))</f>
        <v/>
      </c>
      <c r="G252" s="10" t="n"/>
      <c r="H252" s="10" t="n"/>
      <c r="I252" s="10" t="n"/>
      <c r="J252" s="10" t="n"/>
      <c r="K252" s="10" t="n"/>
      <c r="L252" s="10" t="n"/>
      <c r="M252" s="12" t="n"/>
      <c r="N252" s="10" t="n"/>
      <c r="O252" s="10" t="n"/>
    </row>
    <row r="253">
      <c r="A253" s="10" t="n"/>
      <c r="B253" s="10" t="n"/>
      <c r="C253" s="10" t="n"/>
      <c r="D253" s="10" t="n"/>
      <c r="E253" s="10" t="n"/>
      <c r="F253" s="11">
        <f>IF(E253="","",IF(E253="Authorize.net","1 - Slam dunk",IF(OR(E253="E-commerce",E253="B2B",E253="Vendor"),"2 - Strong",IF(E253="Retail","3 - Good",IF(E253="Restaurant/Bar/Lounge","4 - Hardest","5 - Unknown")))))</f>
        <v/>
      </c>
      <c r="G253" s="10" t="n"/>
      <c r="H253" s="10" t="n"/>
      <c r="I253" s="10" t="n"/>
      <c r="J253" s="10" t="n"/>
      <c r="K253" s="10" t="n"/>
      <c r="L253" s="10" t="n"/>
      <c r="M253" s="12" t="n"/>
      <c r="N253" s="10" t="n"/>
      <c r="O253" s="10" t="n"/>
    </row>
    <row r="254">
      <c r="A254" s="10" t="n"/>
      <c r="B254" s="10" t="n"/>
      <c r="C254" s="10" t="n"/>
      <c r="D254" s="10" t="n"/>
      <c r="E254" s="10" t="n"/>
      <c r="F254" s="11">
        <f>IF(E254="","",IF(E254="Authorize.net","1 - Slam dunk",IF(OR(E254="E-commerce",E254="B2B",E254="Vendor"),"2 - Strong",IF(E254="Retail","3 - Good",IF(E254="Restaurant/Bar/Lounge","4 - Hardest","5 - Unknown")))))</f>
        <v/>
      </c>
      <c r="G254" s="10" t="n"/>
      <c r="H254" s="10" t="n"/>
      <c r="I254" s="10" t="n"/>
      <c r="J254" s="10" t="n"/>
      <c r="K254" s="10" t="n"/>
      <c r="L254" s="10" t="n"/>
      <c r="M254" s="12" t="n"/>
      <c r="N254" s="10" t="n"/>
      <c r="O254" s="10" t="n"/>
    </row>
    <row r="255">
      <c r="A255" s="10" t="n"/>
      <c r="B255" s="10" t="n"/>
      <c r="C255" s="10" t="n"/>
      <c r="D255" s="10" t="n"/>
      <c r="E255" s="10" t="n"/>
      <c r="F255" s="11">
        <f>IF(E255="","",IF(E255="Authorize.net","1 - Slam dunk",IF(OR(E255="E-commerce",E255="B2B",E255="Vendor"),"2 - Strong",IF(E255="Retail","3 - Good",IF(E255="Restaurant/Bar/Lounge","4 - Hardest","5 - Unknown")))))</f>
        <v/>
      </c>
      <c r="G255" s="10" t="n"/>
      <c r="H255" s="10" t="n"/>
      <c r="I255" s="10" t="n"/>
      <c r="J255" s="10" t="n"/>
      <c r="K255" s="10" t="n"/>
      <c r="L255" s="10" t="n"/>
      <c r="M255" s="12" t="n"/>
      <c r="N255" s="10" t="n"/>
      <c r="O255" s="10" t="n"/>
    </row>
    <row r="256">
      <c r="A256" s="10" t="n"/>
      <c r="B256" s="10" t="n"/>
      <c r="C256" s="10" t="n"/>
      <c r="D256" s="10" t="n"/>
      <c r="E256" s="10" t="n"/>
      <c r="F256" s="11">
        <f>IF(E256="","",IF(E256="Authorize.net","1 - Slam dunk",IF(OR(E256="E-commerce",E256="B2B",E256="Vendor"),"2 - Strong",IF(E256="Retail","3 - Good",IF(E256="Restaurant/Bar/Lounge","4 - Hardest","5 - Unknown")))))</f>
        <v/>
      </c>
      <c r="G256" s="10" t="n"/>
      <c r="H256" s="10" t="n"/>
      <c r="I256" s="10" t="n"/>
      <c r="J256" s="10" t="n"/>
      <c r="K256" s="10" t="n"/>
      <c r="L256" s="10" t="n"/>
      <c r="M256" s="12" t="n"/>
      <c r="N256" s="10" t="n"/>
      <c r="O256" s="10" t="n"/>
    </row>
    <row r="257">
      <c r="A257" s="10" t="n"/>
      <c r="B257" s="10" t="n"/>
      <c r="C257" s="10" t="n"/>
      <c r="D257" s="10" t="n"/>
      <c r="E257" s="10" t="n"/>
      <c r="F257" s="11">
        <f>IF(E257="","",IF(E257="Authorize.net","1 - Slam dunk",IF(OR(E257="E-commerce",E257="B2B",E257="Vendor"),"2 - Strong",IF(E257="Retail","3 - Good",IF(E257="Restaurant/Bar/Lounge","4 - Hardest","5 - Unknown")))))</f>
        <v/>
      </c>
      <c r="G257" s="10" t="n"/>
      <c r="H257" s="10" t="n"/>
      <c r="I257" s="10" t="n"/>
      <c r="J257" s="10" t="n"/>
      <c r="K257" s="10" t="n"/>
      <c r="L257" s="10" t="n"/>
      <c r="M257" s="12" t="n"/>
      <c r="N257" s="10" t="n"/>
      <c r="O257" s="10" t="n"/>
    </row>
    <row r="258">
      <c r="A258" s="10" t="n"/>
      <c r="B258" s="10" t="n"/>
      <c r="C258" s="10" t="n"/>
      <c r="D258" s="10" t="n"/>
      <c r="E258" s="10" t="n"/>
      <c r="F258" s="11">
        <f>IF(E258="","",IF(E258="Authorize.net","1 - Slam dunk",IF(OR(E258="E-commerce",E258="B2B",E258="Vendor"),"2 - Strong",IF(E258="Retail","3 - Good",IF(E258="Restaurant/Bar/Lounge","4 - Hardest","5 - Unknown")))))</f>
        <v/>
      </c>
      <c r="G258" s="10" t="n"/>
      <c r="H258" s="10" t="n"/>
      <c r="I258" s="10" t="n"/>
      <c r="J258" s="10" t="n"/>
      <c r="K258" s="10" t="n"/>
      <c r="L258" s="10" t="n"/>
      <c r="M258" s="12" t="n"/>
      <c r="N258" s="10" t="n"/>
      <c r="O258" s="10" t="n"/>
    </row>
    <row r="259">
      <c r="A259" s="10" t="n"/>
      <c r="B259" s="10" t="n"/>
      <c r="C259" s="10" t="n"/>
      <c r="D259" s="10" t="n"/>
      <c r="E259" s="10" t="n"/>
      <c r="F259" s="11">
        <f>IF(E259="","",IF(E259="Authorize.net","1 - Slam dunk",IF(OR(E259="E-commerce",E259="B2B",E259="Vendor"),"2 - Strong",IF(E259="Retail","3 - Good",IF(E259="Restaurant/Bar/Lounge","4 - Hardest","5 - Unknown")))))</f>
        <v/>
      </c>
      <c r="G259" s="10" t="n"/>
      <c r="H259" s="10" t="n"/>
      <c r="I259" s="10" t="n"/>
      <c r="J259" s="10" t="n"/>
      <c r="K259" s="10" t="n"/>
      <c r="L259" s="10" t="n"/>
      <c r="M259" s="12" t="n"/>
      <c r="N259" s="10" t="n"/>
      <c r="O259" s="10" t="n"/>
    </row>
    <row r="260">
      <c r="A260" s="10" t="n"/>
      <c r="B260" s="10" t="n"/>
      <c r="C260" s="10" t="n"/>
      <c r="D260" s="10" t="n"/>
      <c r="E260" s="10" t="n"/>
      <c r="F260" s="11">
        <f>IF(E260="","",IF(E260="Authorize.net","1 - Slam dunk",IF(OR(E260="E-commerce",E260="B2B",E260="Vendor"),"2 - Strong",IF(E260="Retail","3 - Good",IF(E260="Restaurant/Bar/Lounge","4 - Hardest","5 - Unknown")))))</f>
        <v/>
      </c>
      <c r="G260" s="10" t="n"/>
      <c r="H260" s="10" t="n"/>
      <c r="I260" s="10" t="n"/>
      <c r="J260" s="10" t="n"/>
      <c r="K260" s="10" t="n"/>
      <c r="L260" s="10" t="n"/>
      <c r="M260" s="12" t="n"/>
      <c r="N260" s="10" t="n"/>
      <c r="O260" s="10" t="n"/>
    </row>
    <row r="261">
      <c r="A261" s="10" t="n"/>
      <c r="B261" s="10" t="n"/>
      <c r="C261" s="10" t="n"/>
      <c r="D261" s="10" t="n"/>
      <c r="E261" s="10" t="n"/>
      <c r="F261" s="11">
        <f>IF(E261="","",IF(E261="Authorize.net","1 - Slam dunk",IF(OR(E261="E-commerce",E261="B2B",E261="Vendor"),"2 - Strong",IF(E261="Retail","3 - Good",IF(E261="Restaurant/Bar/Lounge","4 - Hardest","5 - Unknown")))))</f>
        <v/>
      </c>
      <c r="G261" s="10" t="n"/>
      <c r="H261" s="10" t="n"/>
      <c r="I261" s="10" t="n"/>
      <c r="J261" s="10" t="n"/>
      <c r="K261" s="10" t="n"/>
      <c r="L261" s="10" t="n"/>
      <c r="M261" s="12" t="n"/>
      <c r="N261" s="10" t="n"/>
      <c r="O261" s="10" t="n"/>
    </row>
    <row r="262">
      <c r="A262" s="10" t="n"/>
      <c r="B262" s="10" t="n"/>
      <c r="C262" s="10" t="n"/>
      <c r="D262" s="10" t="n"/>
      <c r="E262" s="10" t="n"/>
      <c r="F262" s="11">
        <f>IF(E262="","",IF(E262="Authorize.net","1 - Slam dunk",IF(OR(E262="E-commerce",E262="B2B",E262="Vendor"),"2 - Strong",IF(E262="Retail","3 - Good",IF(E262="Restaurant/Bar/Lounge","4 - Hardest","5 - Unknown")))))</f>
        <v/>
      </c>
      <c r="G262" s="10" t="n"/>
      <c r="H262" s="10" t="n"/>
      <c r="I262" s="10" t="n"/>
      <c r="J262" s="10" t="n"/>
      <c r="K262" s="10" t="n"/>
      <c r="L262" s="10" t="n"/>
      <c r="M262" s="12" t="n"/>
      <c r="N262" s="10" t="n"/>
      <c r="O262" s="10" t="n"/>
    </row>
    <row r="263">
      <c r="A263" s="10" t="n"/>
      <c r="B263" s="10" t="n"/>
      <c r="C263" s="10" t="n"/>
      <c r="D263" s="10" t="n"/>
      <c r="E263" s="10" t="n"/>
      <c r="F263" s="11">
        <f>IF(E263="","",IF(E263="Authorize.net","1 - Slam dunk",IF(OR(E263="E-commerce",E263="B2B",E263="Vendor"),"2 - Strong",IF(E263="Retail","3 - Good",IF(E263="Restaurant/Bar/Lounge","4 - Hardest","5 - Unknown")))))</f>
        <v/>
      </c>
      <c r="G263" s="10" t="n"/>
      <c r="H263" s="10" t="n"/>
      <c r="I263" s="10" t="n"/>
      <c r="J263" s="10" t="n"/>
      <c r="K263" s="10" t="n"/>
      <c r="L263" s="10" t="n"/>
      <c r="M263" s="12" t="n"/>
      <c r="N263" s="10" t="n"/>
      <c r="O263" s="10" t="n"/>
    </row>
    <row r="264">
      <c r="A264" s="10" t="n"/>
      <c r="B264" s="10" t="n"/>
      <c r="C264" s="10" t="n"/>
      <c r="D264" s="10" t="n"/>
      <c r="E264" s="10" t="n"/>
      <c r="F264" s="11">
        <f>IF(E264="","",IF(E264="Authorize.net","1 - Slam dunk",IF(OR(E264="E-commerce",E264="B2B",E264="Vendor"),"2 - Strong",IF(E264="Retail","3 - Good",IF(E264="Restaurant/Bar/Lounge","4 - Hardest","5 - Unknown")))))</f>
        <v/>
      </c>
      <c r="G264" s="10" t="n"/>
      <c r="H264" s="10" t="n"/>
      <c r="I264" s="10" t="n"/>
      <c r="J264" s="10" t="n"/>
      <c r="K264" s="10" t="n"/>
      <c r="L264" s="10" t="n"/>
      <c r="M264" s="12" t="n"/>
      <c r="N264" s="10" t="n"/>
      <c r="O264" s="10" t="n"/>
    </row>
    <row r="265">
      <c r="A265" s="10" t="n"/>
      <c r="B265" s="10" t="n"/>
      <c r="C265" s="10" t="n"/>
      <c r="D265" s="10" t="n"/>
      <c r="E265" s="10" t="n"/>
      <c r="F265" s="11">
        <f>IF(E265="","",IF(E265="Authorize.net","1 - Slam dunk",IF(OR(E265="E-commerce",E265="B2B",E265="Vendor"),"2 - Strong",IF(E265="Retail","3 - Good",IF(E265="Restaurant/Bar/Lounge","4 - Hardest","5 - Unknown")))))</f>
        <v/>
      </c>
      <c r="G265" s="10" t="n"/>
      <c r="H265" s="10" t="n"/>
      <c r="I265" s="10" t="n"/>
      <c r="J265" s="10" t="n"/>
      <c r="K265" s="10" t="n"/>
      <c r="L265" s="10" t="n"/>
      <c r="M265" s="12" t="n"/>
      <c r="N265" s="10" t="n"/>
      <c r="O265" s="10" t="n"/>
    </row>
    <row r="266">
      <c r="A266" s="10" t="n"/>
      <c r="B266" s="10" t="n"/>
      <c r="C266" s="10" t="n"/>
      <c r="D266" s="10" t="n"/>
      <c r="E266" s="10" t="n"/>
      <c r="F266" s="11">
        <f>IF(E266="","",IF(E266="Authorize.net","1 - Slam dunk",IF(OR(E266="E-commerce",E266="B2B",E266="Vendor"),"2 - Strong",IF(E266="Retail","3 - Good",IF(E266="Restaurant/Bar/Lounge","4 - Hardest","5 - Unknown")))))</f>
        <v/>
      </c>
      <c r="G266" s="10" t="n"/>
      <c r="H266" s="10" t="n"/>
      <c r="I266" s="10" t="n"/>
      <c r="J266" s="10" t="n"/>
      <c r="K266" s="10" t="n"/>
      <c r="L266" s="10" t="n"/>
      <c r="M266" s="12" t="n"/>
      <c r="N266" s="10" t="n"/>
      <c r="O266" s="10" t="n"/>
    </row>
    <row r="267">
      <c r="A267" s="10" t="n"/>
      <c r="B267" s="10" t="n"/>
      <c r="C267" s="10" t="n"/>
      <c r="D267" s="10" t="n"/>
      <c r="E267" s="10" t="n"/>
      <c r="F267" s="11">
        <f>IF(E267="","",IF(E267="Authorize.net","1 - Slam dunk",IF(OR(E267="E-commerce",E267="B2B",E267="Vendor"),"2 - Strong",IF(E267="Retail","3 - Good",IF(E267="Restaurant/Bar/Lounge","4 - Hardest","5 - Unknown")))))</f>
        <v/>
      </c>
      <c r="G267" s="10" t="n"/>
      <c r="H267" s="10" t="n"/>
      <c r="I267" s="10" t="n"/>
      <c r="J267" s="10" t="n"/>
      <c r="K267" s="10" t="n"/>
      <c r="L267" s="10" t="n"/>
      <c r="M267" s="12" t="n"/>
      <c r="N267" s="10" t="n"/>
      <c r="O267" s="10" t="n"/>
    </row>
    <row r="268">
      <c r="A268" s="10" t="n"/>
      <c r="B268" s="10" t="n"/>
      <c r="C268" s="10" t="n"/>
      <c r="D268" s="10" t="n"/>
      <c r="E268" s="10" t="n"/>
      <c r="F268" s="11">
        <f>IF(E268="","",IF(E268="Authorize.net","1 - Slam dunk",IF(OR(E268="E-commerce",E268="B2B",E268="Vendor"),"2 - Strong",IF(E268="Retail","3 - Good",IF(E268="Restaurant/Bar/Lounge","4 - Hardest","5 - Unknown")))))</f>
        <v/>
      </c>
      <c r="G268" s="10" t="n"/>
      <c r="H268" s="10" t="n"/>
      <c r="I268" s="10" t="n"/>
      <c r="J268" s="10" t="n"/>
      <c r="K268" s="10" t="n"/>
      <c r="L268" s="10" t="n"/>
      <c r="M268" s="12" t="n"/>
      <c r="N268" s="10" t="n"/>
      <c r="O268" s="10" t="n"/>
    </row>
    <row r="269">
      <c r="A269" s="10" t="n"/>
      <c r="B269" s="10" t="n"/>
      <c r="C269" s="10" t="n"/>
      <c r="D269" s="10" t="n"/>
      <c r="E269" s="10" t="n"/>
      <c r="F269" s="11">
        <f>IF(E269="","",IF(E269="Authorize.net","1 - Slam dunk",IF(OR(E269="E-commerce",E269="B2B",E269="Vendor"),"2 - Strong",IF(E269="Retail","3 - Good",IF(E269="Restaurant/Bar/Lounge","4 - Hardest","5 - Unknown")))))</f>
        <v/>
      </c>
      <c r="G269" s="10" t="n"/>
      <c r="H269" s="10" t="n"/>
      <c r="I269" s="10" t="n"/>
      <c r="J269" s="10" t="n"/>
      <c r="K269" s="10" t="n"/>
      <c r="L269" s="10" t="n"/>
      <c r="M269" s="12" t="n"/>
      <c r="N269" s="10" t="n"/>
      <c r="O269" s="10" t="n"/>
    </row>
    <row r="270">
      <c r="A270" s="10" t="n"/>
      <c r="B270" s="10" t="n"/>
      <c r="C270" s="10" t="n"/>
      <c r="D270" s="10" t="n"/>
      <c r="E270" s="10" t="n"/>
      <c r="F270" s="11">
        <f>IF(E270="","",IF(E270="Authorize.net","1 - Slam dunk",IF(OR(E270="E-commerce",E270="B2B",E270="Vendor"),"2 - Strong",IF(E270="Retail","3 - Good",IF(E270="Restaurant/Bar/Lounge","4 - Hardest","5 - Unknown")))))</f>
        <v/>
      </c>
      <c r="G270" s="10" t="n"/>
      <c r="H270" s="10" t="n"/>
      <c r="I270" s="10" t="n"/>
      <c r="J270" s="10" t="n"/>
      <c r="K270" s="10" t="n"/>
      <c r="L270" s="10" t="n"/>
      <c r="M270" s="12" t="n"/>
      <c r="N270" s="10" t="n"/>
      <c r="O270" s="10" t="n"/>
    </row>
    <row r="271">
      <c r="A271" s="10" t="n"/>
      <c r="B271" s="10" t="n"/>
      <c r="C271" s="10" t="n"/>
      <c r="D271" s="10" t="n"/>
      <c r="E271" s="10" t="n"/>
      <c r="F271" s="11">
        <f>IF(E271="","",IF(E271="Authorize.net","1 - Slam dunk",IF(OR(E271="E-commerce",E271="B2B",E271="Vendor"),"2 - Strong",IF(E271="Retail","3 - Good",IF(E271="Restaurant/Bar/Lounge","4 - Hardest","5 - Unknown")))))</f>
        <v/>
      </c>
      <c r="G271" s="10" t="n"/>
      <c r="H271" s="10" t="n"/>
      <c r="I271" s="10" t="n"/>
      <c r="J271" s="10" t="n"/>
      <c r="K271" s="10" t="n"/>
      <c r="L271" s="10" t="n"/>
      <c r="M271" s="12" t="n"/>
      <c r="N271" s="10" t="n"/>
      <c r="O271" s="10" t="n"/>
    </row>
    <row r="272">
      <c r="A272" s="10" t="n"/>
      <c r="B272" s="10" t="n"/>
      <c r="C272" s="10" t="n"/>
      <c r="D272" s="10" t="n"/>
      <c r="E272" s="10" t="n"/>
      <c r="F272" s="11">
        <f>IF(E272="","",IF(E272="Authorize.net","1 - Slam dunk",IF(OR(E272="E-commerce",E272="B2B",E272="Vendor"),"2 - Strong",IF(E272="Retail","3 - Good",IF(E272="Restaurant/Bar/Lounge","4 - Hardest","5 - Unknown")))))</f>
        <v/>
      </c>
      <c r="G272" s="10" t="n"/>
      <c r="H272" s="10" t="n"/>
      <c r="I272" s="10" t="n"/>
      <c r="J272" s="10" t="n"/>
      <c r="K272" s="10" t="n"/>
      <c r="L272" s="10" t="n"/>
      <c r="M272" s="12" t="n"/>
      <c r="N272" s="10" t="n"/>
      <c r="O272" s="10" t="n"/>
    </row>
    <row r="273">
      <c r="A273" s="10" t="n"/>
      <c r="B273" s="10" t="n"/>
      <c r="C273" s="10" t="n"/>
      <c r="D273" s="10" t="n"/>
      <c r="E273" s="10" t="n"/>
      <c r="F273" s="11">
        <f>IF(E273="","",IF(E273="Authorize.net","1 - Slam dunk",IF(OR(E273="E-commerce",E273="B2B",E273="Vendor"),"2 - Strong",IF(E273="Retail","3 - Good",IF(E273="Restaurant/Bar/Lounge","4 - Hardest","5 - Unknown")))))</f>
        <v/>
      </c>
      <c r="G273" s="10" t="n"/>
      <c r="H273" s="10" t="n"/>
      <c r="I273" s="10" t="n"/>
      <c r="J273" s="10" t="n"/>
      <c r="K273" s="10" t="n"/>
      <c r="L273" s="10" t="n"/>
      <c r="M273" s="12" t="n"/>
      <c r="N273" s="10" t="n"/>
      <c r="O273" s="10" t="n"/>
    </row>
    <row r="274">
      <c r="A274" s="10" t="n"/>
      <c r="B274" s="10" t="n"/>
      <c r="C274" s="10" t="n"/>
      <c r="D274" s="10" t="n"/>
      <c r="E274" s="10" t="n"/>
      <c r="F274" s="11">
        <f>IF(E274="","",IF(E274="Authorize.net","1 - Slam dunk",IF(OR(E274="E-commerce",E274="B2B",E274="Vendor"),"2 - Strong",IF(E274="Retail","3 - Good",IF(E274="Restaurant/Bar/Lounge","4 - Hardest","5 - Unknown")))))</f>
        <v/>
      </c>
      <c r="G274" s="10" t="n"/>
      <c r="H274" s="10" t="n"/>
      <c r="I274" s="10" t="n"/>
      <c r="J274" s="10" t="n"/>
      <c r="K274" s="10" t="n"/>
      <c r="L274" s="10" t="n"/>
      <c r="M274" s="12" t="n"/>
      <c r="N274" s="10" t="n"/>
      <c r="O274" s="10" t="n"/>
    </row>
    <row r="275">
      <c r="A275" s="10" t="n"/>
      <c r="B275" s="10" t="n"/>
      <c r="C275" s="10" t="n"/>
      <c r="D275" s="10" t="n"/>
      <c r="E275" s="10" t="n"/>
      <c r="F275" s="11">
        <f>IF(E275="","",IF(E275="Authorize.net","1 - Slam dunk",IF(OR(E275="E-commerce",E275="B2B",E275="Vendor"),"2 - Strong",IF(E275="Retail","3 - Good",IF(E275="Restaurant/Bar/Lounge","4 - Hardest","5 - Unknown")))))</f>
        <v/>
      </c>
      <c r="G275" s="10" t="n"/>
      <c r="H275" s="10" t="n"/>
      <c r="I275" s="10" t="n"/>
      <c r="J275" s="10" t="n"/>
      <c r="K275" s="10" t="n"/>
      <c r="L275" s="10" t="n"/>
      <c r="M275" s="12" t="n"/>
      <c r="N275" s="10" t="n"/>
      <c r="O275" s="10" t="n"/>
    </row>
    <row r="276">
      <c r="A276" s="10" t="n"/>
      <c r="B276" s="10" t="n"/>
      <c r="C276" s="10" t="n"/>
      <c r="D276" s="10" t="n"/>
      <c r="E276" s="10" t="n"/>
      <c r="F276" s="11">
        <f>IF(E276="","",IF(E276="Authorize.net","1 - Slam dunk",IF(OR(E276="E-commerce",E276="B2B",E276="Vendor"),"2 - Strong",IF(E276="Retail","3 - Good",IF(E276="Restaurant/Bar/Lounge","4 - Hardest","5 - Unknown")))))</f>
        <v/>
      </c>
      <c r="G276" s="10" t="n"/>
      <c r="H276" s="10" t="n"/>
      <c r="I276" s="10" t="n"/>
      <c r="J276" s="10" t="n"/>
      <c r="K276" s="10" t="n"/>
      <c r="L276" s="10" t="n"/>
      <c r="M276" s="12" t="n"/>
      <c r="N276" s="10" t="n"/>
      <c r="O276" s="10" t="n"/>
    </row>
    <row r="277">
      <c r="A277" s="10" t="n"/>
      <c r="B277" s="10" t="n"/>
      <c r="C277" s="10" t="n"/>
      <c r="D277" s="10" t="n"/>
      <c r="E277" s="10" t="n"/>
      <c r="F277" s="11">
        <f>IF(E277="","",IF(E277="Authorize.net","1 - Slam dunk",IF(OR(E277="E-commerce",E277="B2B",E277="Vendor"),"2 - Strong",IF(E277="Retail","3 - Good",IF(E277="Restaurant/Bar/Lounge","4 - Hardest","5 - Unknown")))))</f>
        <v/>
      </c>
      <c r="G277" s="10" t="n"/>
      <c r="H277" s="10" t="n"/>
      <c r="I277" s="10" t="n"/>
      <c r="J277" s="10" t="n"/>
      <c r="K277" s="10" t="n"/>
      <c r="L277" s="10" t="n"/>
      <c r="M277" s="12" t="n"/>
      <c r="N277" s="10" t="n"/>
      <c r="O277" s="10" t="n"/>
    </row>
    <row r="278">
      <c r="A278" s="10" t="n"/>
      <c r="B278" s="10" t="n"/>
      <c r="C278" s="10" t="n"/>
      <c r="D278" s="10" t="n"/>
      <c r="E278" s="10" t="n"/>
      <c r="F278" s="11">
        <f>IF(E278="","",IF(E278="Authorize.net","1 - Slam dunk",IF(OR(E278="E-commerce",E278="B2B",E278="Vendor"),"2 - Strong",IF(E278="Retail","3 - Good",IF(E278="Restaurant/Bar/Lounge","4 - Hardest","5 - Unknown")))))</f>
        <v/>
      </c>
      <c r="G278" s="10" t="n"/>
      <c r="H278" s="10" t="n"/>
      <c r="I278" s="10" t="n"/>
      <c r="J278" s="10" t="n"/>
      <c r="K278" s="10" t="n"/>
      <c r="L278" s="10" t="n"/>
      <c r="M278" s="12" t="n"/>
      <c r="N278" s="10" t="n"/>
      <c r="O278" s="10" t="n"/>
    </row>
    <row r="279">
      <c r="A279" s="10" t="n"/>
      <c r="B279" s="10" t="n"/>
      <c r="C279" s="10" t="n"/>
      <c r="D279" s="10" t="n"/>
      <c r="E279" s="10" t="n"/>
      <c r="F279" s="11">
        <f>IF(E279="","",IF(E279="Authorize.net","1 - Slam dunk",IF(OR(E279="E-commerce",E279="B2B",E279="Vendor"),"2 - Strong",IF(E279="Retail","3 - Good",IF(E279="Restaurant/Bar/Lounge","4 - Hardest","5 - Unknown")))))</f>
        <v/>
      </c>
      <c r="G279" s="10" t="n"/>
      <c r="H279" s="10" t="n"/>
      <c r="I279" s="10" t="n"/>
      <c r="J279" s="10" t="n"/>
      <c r="K279" s="10" t="n"/>
      <c r="L279" s="10" t="n"/>
      <c r="M279" s="12" t="n"/>
      <c r="N279" s="10" t="n"/>
      <c r="O279" s="10" t="n"/>
    </row>
    <row r="280">
      <c r="A280" s="10" t="n"/>
      <c r="B280" s="10" t="n"/>
      <c r="C280" s="10" t="n"/>
      <c r="D280" s="10" t="n"/>
      <c r="E280" s="10" t="n"/>
      <c r="F280" s="11">
        <f>IF(E280="","",IF(E280="Authorize.net","1 - Slam dunk",IF(OR(E280="E-commerce",E280="B2B",E280="Vendor"),"2 - Strong",IF(E280="Retail","3 - Good",IF(E280="Restaurant/Bar/Lounge","4 - Hardest","5 - Unknown")))))</f>
        <v/>
      </c>
      <c r="G280" s="10" t="n"/>
      <c r="H280" s="10" t="n"/>
      <c r="I280" s="10" t="n"/>
      <c r="J280" s="10" t="n"/>
      <c r="K280" s="10" t="n"/>
      <c r="L280" s="10" t="n"/>
      <c r="M280" s="12" t="n"/>
      <c r="N280" s="10" t="n"/>
      <c r="O280" s="10" t="n"/>
    </row>
    <row r="281">
      <c r="A281" s="10" t="n"/>
      <c r="B281" s="10" t="n"/>
      <c r="C281" s="10" t="n"/>
      <c r="D281" s="10" t="n"/>
      <c r="E281" s="10" t="n"/>
      <c r="F281" s="11">
        <f>IF(E281="","",IF(E281="Authorize.net","1 - Slam dunk",IF(OR(E281="E-commerce",E281="B2B",E281="Vendor"),"2 - Strong",IF(E281="Retail","3 - Good",IF(E281="Restaurant/Bar/Lounge","4 - Hardest","5 - Unknown")))))</f>
        <v/>
      </c>
      <c r="G281" s="10" t="n"/>
      <c r="H281" s="10" t="n"/>
      <c r="I281" s="10" t="n"/>
      <c r="J281" s="10" t="n"/>
      <c r="K281" s="10" t="n"/>
      <c r="L281" s="10" t="n"/>
      <c r="M281" s="12" t="n"/>
      <c r="N281" s="10" t="n"/>
      <c r="O281" s="10" t="n"/>
    </row>
    <row r="282">
      <c r="A282" s="10" t="n"/>
      <c r="B282" s="10" t="n"/>
      <c r="C282" s="10" t="n"/>
      <c r="D282" s="10" t="n"/>
      <c r="E282" s="10" t="n"/>
      <c r="F282" s="11">
        <f>IF(E282="","",IF(E282="Authorize.net","1 - Slam dunk",IF(OR(E282="E-commerce",E282="B2B",E282="Vendor"),"2 - Strong",IF(E282="Retail","3 - Good",IF(E282="Restaurant/Bar/Lounge","4 - Hardest","5 - Unknown")))))</f>
        <v/>
      </c>
      <c r="G282" s="10" t="n"/>
      <c r="H282" s="10" t="n"/>
      <c r="I282" s="10" t="n"/>
      <c r="J282" s="10" t="n"/>
      <c r="K282" s="10" t="n"/>
      <c r="L282" s="10" t="n"/>
      <c r="M282" s="12" t="n"/>
      <c r="N282" s="10" t="n"/>
      <c r="O282" s="10" t="n"/>
    </row>
    <row r="283">
      <c r="A283" s="10" t="n"/>
      <c r="B283" s="10" t="n"/>
      <c r="C283" s="10" t="n"/>
      <c r="D283" s="10" t="n"/>
      <c r="E283" s="10" t="n"/>
      <c r="F283" s="11">
        <f>IF(E283="","",IF(E283="Authorize.net","1 - Slam dunk",IF(OR(E283="E-commerce",E283="B2B",E283="Vendor"),"2 - Strong",IF(E283="Retail","3 - Good",IF(E283="Restaurant/Bar/Lounge","4 - Hardest","5 - Unknown")))))</f>
        <v/>
      </c>
      <c r="G283" s="10" t="n"/>
      <c r="H283" s="10" t="n"/>
      <c r="I283" s="10" t="n"/>
      <c r="J283" s="10" t="n"/>
      <c r="K283" s="10" t="n"/>
      <c r="L283" s="10" t="n"/>
      <c r="M283" s="12" t="n"/>
      <c r="N283" s="10" t="n"/>
      <c r="O283" s="10" t="n"/>
    </row>
    <row r="284">
      <c r="A284" s="10" t="n"/>
      <c r="B284" s="10" t="n"/>
      <c r="C284" s="10" t="n"/>
      <c r="D284" s="10" t="n"/>
      <c r="E284" s="10" t="n"/>
      <c r="F284" s="11">
        <f>IF(E284="","",IF(E284="Authorize.net","1 - Slam dunk",IF(OR(E284="E-commerce",E284="B2B",E284="Vendor"),"2 - Strong",IF(E284="Retail","3 - Good",IF(E284="Restaurant/Bar/Lounge","4 - Hardest","5 - Unknown")))))</f>
        <v/>
      </c>
      <c r="G284" s="10" t="n"/>
      <c r="H284" s="10" t="n"/>
      <c r="I284" s="10" t="n"/>
      <c r="J284" s="10" t="n"/>
      <c r="K284" s="10" t="n"/>
      <c r="L284" s="10" t="n"/>
      <c r="M284" s="12" t="n"/>
      <c r="N284" s="10" t="n"/>
      <c r="O284" s="10" t="n"/>
    </row>
    <row r="285">
      <c r="A285" s="10" t="n"/>
      <c r="B285" s="10" t="n"/>
      <c r="C285" s="10" t="n"/>
      <c r="D285" s="10" t="n"/>
      <c r="E285" s="10" t="n"/>
      <c r="F285" s="11">
        <f>IF(E285="","",IF(E285="Authorize.net","1 - Slam dunk",IF(OR(E285="E-commerce",E285="B2B",E285="Vendor"),"2 - Strong",IF(E285="Retail","3 - Good",IF(E285="Restaurant/Bar/Lounge","4 - Hardest","5 - Unknown")))))</f>
        <v/>
      </c>
      <c r="G285" s="10" t="n"/>
      <c r="H285" s="10" t="n"/>
      <c r="I285" s="10" t="n"/>
      <c r="J285" s="10" t="n"/>
      <c r="K285" s="10" t="n"/>
      <c r="L285" s="10" t="n"/>
      <c r="M285" s="12" t="n"/>
      <c r="N285" s="10" t="n"/>
      <c r="O285" s="10" t="n"/>
    </row>
    <row r="286">
      <c r="A286" s="10" t="n"/>
      <c r="B286" s="10" t="n"/>
      <c r="C286" s="10" t="n"/>
      <c r="D286" s="10" t="n"/>
      <c r="E286" s="10" t="n"/>
      <c r="F286" s="11">
        <f>IF(E286="","",IF(E286="Authorize.net","1 - Slam dunk",IF(OR(E286="E-commerce",E286="B2B",E286="Vendor"),"2 - Strong",IF(E286="Retail","3 - Good",IF(E286="Restaurant/Bar/Lounge","4 - Hardest","5 - Unknown")))))</f>
        <v/>
      </c>
      <c r="G286" s="10" t="n"/>
      <c r="H286" s="10" t="n"/>
      <c r="I286" s="10" t="n"/>
      <c r="J286" s="10" t="n"/>
      <c r="K286" s="10" t="n"/>
      <c r="L286" s="10" t="n"/>
      <c r="M286" s="12" t="n"/>
      <c r="N286" s="10" t="n"/>
      <c r="O286" s="10" t="n"/>
    </row>
    <row r="287">
      <c r="A287" s="10" t="n"/>
      <c r="B287" s="10" t="n"/>
      <c r="C287" s="10" t="n"/>
      <c r="D287" s="10" t="n"/>
      <c r="E287" s="10" t="n"/>
      <c r="F287" s="11">
        <f>IF(E287="","",IF(E287="Authorize.net","1 - Slam dunk",IF(OR(E287="E-commerce",E287="B2B",E287="Vendor"),"2 - Strong",IF(E287="Retail","3 - Good",IF(E287="Restaurant/Bar/Lounge","4 - Hardest","5 - Unknown")))))</f>
        <v/>
      </c>
      <c r="G287" s="10" t="n"/>
      <c r="H287" s="10" t="n"/>
      <c r="I287" s="10" t="n"/>
      <c r="J287" s="10" t="n"/>
      <c r="K287" s="10" t="n"/>
      <c r="L287" s="10" t="n"/>
      <c r="M287" s="12" t="n"/>
      <c r="N287" s="10" t="n"/>
      <c r="O287" s="10" t="n"/>
    </row>
    <row r="288">
      <c r="A288" s="10" t="n"/>
      <c r="B288" s="10" t="n"/>
      <c r="C288" s="10" t="n"/>
      <c r="D288" s="10" t="n"/>
      <c r="E288" s="10" t="n"/>
      <c r="F288" s="11">
        <f>IF(E288="","",IF(E288="Authorize.net","1 - Slam dunk",IF(OR(E288="E-commerce",E288="B2B",E288="Vendor"),"2 - Strong",IF(E288="Retail","3 - Good",IF(E288="Restaurant/Bar/Lounge","4 - Hardest","5 - Unknown")))))</f>
        <v/>
      </c>
      <c r="G288" s="10" t="n"/>
      <c r="H288" s="10" t="n"/>
      <c r="I288" s="10" t="n"/>
      <c r="J288" s="10" t="n"/>
      <c r="K288" s="10" t="n"/>
      <c r="L288" s="10" t="n"/>
      <c r="M288" s="12" t="n"/>
      <c r="N288" s="10" t="n"/>
      <c r="O288" s="10" t="n"/>
    </row>
    <row r="289">
      <c r="A289" s="10" t="n"/>
      <c r="B289" s="10" t="n"/>
      <c r="C289" s="10" t="n"/>
      <c r="D289" s="10" t="n"/>
      <c r="E289" s="10" t="n"/>
      <c r="F289" s="11">
        <f>IF(E289="","",IF(E289="Authorize.net","1 - Slam dunk",IF(OR(E289="E-commerce",E289="B2B",E289="Vendor"),"2 - Strong",IF(E289="Retail","3 - Good",IF(E289="Restaurant/Bar/Lounge","4 - Hardest","5 - Unknown")))))</f>
        <v/>
      </c>
      <c r="G289" s="10" t="n"/>
      <c r="H289" s="10" t="n"/>
      <c r="I289" s="10" t="n"/>
      <c r="J289" s="10" t="n"/>
      <c r="K289" s="10" t="n"/>
      <c r="L289" s="10" t="n"/>
      <c r="M289" s="12" t="n"/>
      <c r="N289" s="10" t="n"/>
      <c r="O289" s="10" t="n"/>
    </row>
    <row r="290">
      <c r="A290" s="10" t="n"/>
      <c r="B290" s="10" t="n"/>
      <c r="C290" s="10" t="n"/>
      <c r="D290" s="10" t="n"/>
      <c r="E290" s="10" t="n"/>
      <c r="F290" s="11">
        <f>IF(E290="","",IF(E290="Authorize.net","1 - Slam dunk",IF(OR(E290="E-commerce",E290="B2B",E290="Vendor"),"2 - Strong",IF(E290="Retail","3 - Good",IF(E290="Restaurant/Bar/Lounge","4 - Hardest","5 - Unknown")))))</f>
        <v/>
      </c>
      <c r="G290" s="10" t="n"/>
      <c r="H290" s="10" t="n"/>
      <c r="I290" s="10" t="n"/>
      <c r="J290" s="10" t="n"/>
      <c r="K290" s="10" t="n"/>
      <c r="L290" s="10" t="n"/>
      <c r="M290" s="12" t="n"/>
      <c r="N290" s="10" t="n"/>
      <c r="O290" s="10" t="n"/>
    </row>
    <row r="291">
      <c r="A291" s="10" t="n"/>
      <c r="B291" s="10" t="n"/>
      <c r="C291" s="10" t="n"/>
      <c r="D291" s="10" t="n"/>
      <c r="E291" s="10" t="n"/>
      <c r="F291" s="11">
        <f>IF(E291="","",IF(E291="Authorize.net","1 - Slam dunk",IF(OR(E291="E-commerce",E291="B2B",E291="Vendor"),"2 - Strong",IF(E291="Retail","3 - Good",IF(E291="Restaurant/Bar/Lounge","4 - Hardest","5 - Unknown")))))</f>
        <v/>
      </c>
      <c r="G291" s="10" t="n"/>
      <c r="H291" s="10" t="n"/>
      <c r="I291" s="10" t="n"/>
      <c r="J291" s="10" t="n"/>
      <c r="K291" s="10" t="n"/>
      <c r="L291" s="10" t="n"/>
      <c r="M291" s="12" t="n"/>
      <c r="N291" s="10" t="n"/>
      <c r="O291" s="10" t="n"/>
    </row>
    <row r="292">
      <c r="A292" s="10" t="n"/>
      <c r="B292" s="10" t="n"/>
      <c r="C292" s="10" t="n"/>
      <c r="D292" s="10" t="n"/>
      <c r="E292" s="10" t="n"/>
      <c r="F292" s="11">
        <f>IF(E292="","",IF(E292="Authorize.net","1 - Slam dunk",IF(OR(E292="E-commerce",E292="B2B",E292="Vendor"),"2 - Strong",IF(E292="Retail","3 - Good",IF(E292="Restaurant/Bar/Lounge","4 - Hardest","5 - Unknown")))))</f>
        <v/>
      </c>
      <c r="G292" s="10" t="n"/>
      <c r="H292" s="10" t="n"/>
      <c r="I292" s="10" t="n"/>
      <c r="J292" s="10" t="n"/>
      <c r="K292" s="10" t="n"/>
      <c r="L292" s="10" t="n"/>
      <c r="M292" s="12" t="n"/>
      <c r="N292" s="10" t="n"/>
      <c r="O292" s="10" t="n"/>
    </row>
    <row r="293">
      <c r="A293" s="10" t="n"/>
      <c r="B293" s="10" t="n"/>
      <c r="C293" s="10" t="n"/>
      <c r="D293" s="10" t="n"/>
      <c r="E293" s="10" t="n"/>
      <c r="F293" s="11">
        <f>IF(E293="","",IF(E293="Authorize.net","1 - Slam dunk",IF(OR(E293="E-commerce",E293="B2B",E293="Vendor"),"2 - Strong",IF(E293="Retail","3 - Good",IF(E293="Restaurant/Bar/Lounge","4 - Hardest","5 - Unknown")))))</f>
        <v/>
      </c>
      <c r="G293" s="10" t="n"/>
      <c r="H293" s="10" t="n"/>
      <c r="I293" s="10" t="n"/>
      <c r="J293" s="10" t="n"/>
      <c r="K293" s="10" t="n"/>
      <c r="L293" s="10" t="n"/>
      <c r="M293" s="12" t="n"/>
      <c r="N293" s="10" t="n"/>
      <c r="O293" s="10" t="n"/>
    </row>
    <row r="294">
      <c r="A294" s="10" t="n"/>
      <c r="B294" s="10" t="n"/>
      <c r="C294" s="10" t="n"/>
      <c r="D294" s="10" t="n"/>
      <c r="E294" s="10" t="n"/>
      <c r="F294" s="11">
        <f>IF(E294="","",IF(E294="Authorize.net","1 - Slam dunk",IF(OR(E294="E-commerce",E294="B2B",E294="Vendor"),"2 - Strong",IF(E294="Retail","3 - Good",IF(E294="Restaurant/Bar/Lounge","4 - Hardest","5 - Unknown")))))</f>
        <v/>
      </c>
      <c r="G294" s="10" t="n"/>
      <c r="H294" s="10" t="n"/>
      <c r="I294" s="10" t="n"/>
      <c r="J294" s="10" t="n"/>
      <c r="K294" s="10" t="n"/>
      <c r="L294" s="10" t="n"/>
      <c r="M294" s="12" t="n"/>
      <c r="N294" s="10" t="n"/>
      <c r="O294" s="10" t="n"/>
    </row>
    <row r="295">
      <c r="A295" s="10" t="n"/>
      <c r="B295" s="10" t="n"/>
      <c r="C295" s="10" t="n"/>
      <c r="D295" s="10" t="n"/>
      <c r="E295" s="10" t="n"/>
      <c r="F295" s="11">
        <f>IF(E295="","",IF(E295="Authorize.net","1 - Slam dunk",IF(OR(E295="E-commerce",E295="B2B",E295="Vendor"),"2 - Strong",IF(E295="Retail","3 - Good",IF(E295="Restaurant/Bar/Lounge","4 - Hardest","5 - Unknown")))))</f>
        <v/>
      </c>
      <c r="G295" s="10" t="n"/>
      <c r="H295" s="10" t="n"/>
      <c r="I295" s="10" t="n"/>
      <c r="J295" s="10" t="n"/>
      <c r="K295" s="10" t="n"/>
      <c r="L295" s="10" t="n"/>
      <c r="M295" s="12" t="n"/>
      <c r="N295" s="10" t="n"/>
      <c r="O295" s="10" t="n"/>
    </row>
    <row r="296">
      <c r="A296" s="10" t="n"/>
      <c r="B296" s="10" t="n"/>
      <c r="C296" s="10" t="n"/>
      <c r="D296" s="10" t="n"/>
      <c r="E296" s="10" t="n"/>
      <c r="F296" s="11">
        <f>IF(E296="","",IF(E296="Authorize.net","1 - Slam dunk",IF(OR(E296="E-commerce",E296="B2B",E296="Vendor"),"2 - Strong",IF(E296="Retail","3 - Good",IF(E296="Restaurant/Bar/Lounge","4 - Hardest","5 - Unknown")))))</f>
        <v/>
      </c>
      <c r="G296" s="10" t="n"/>
      <c r="H296" s="10" t="n"/>
      <c r="I296" s="10" t="n"/>
      <c r="J296" s="10" t="n"/>
      <c r="K296" s="10" t="n"/>
      <c r="L296" s="10" t="n"/>
      <c r="M296" s="12" t="n"/>
      <c r="N296" s="10" t="n"/>
      <c r="O296" s="10" t="n"/>
    </row>
    <row r="297">
      <c r="A297" s="10" t="n"/>
      <c r="B297" s="10" t="n"/>
      <c r="C297" s="10" t="n"/>
      <c r="D297" s="10" t="n"/>
      <c r="E297" s="10" t="n"/>
      <c r="F297" s="11">
        <f>IF(E297="","",IF(E297="Authorize.net","1 - Slam dunk",IF(OR(E297="E-commerce",E297="B2B",E297="Vendor"),"2 - Strong",IF(E297="Retail","3 - Good",IF(E297="Restaurant/Bar/Lounge","4 - Hardest","5 - Unknown")))))</f>
        <v/>
      </c>
      <c r="G297" s="10" t="n"/>
      <c r="H297" s="10" t="n"/>
      <c r="I297" s="10" t="n"/>
      <c r="J297" s="10" t="n"/>
      <c r="K297" s="10" t="n"/>
      <c r="L297" s="10" t="n"/>
      <c r="M297" s="12" t="n"/>
      <c r="N297" s="10" t="n"/>
      <c r="O297" s="10" t="n"/>
    </row>
    <row r="298">
      <c r="A298" s="10" t="n"/>
      <c r="B298" s="10" t="n"/>
      <c r="C298" s="10" t="n"/>
      <c r="D298" s="10" t="n"/>
      <c r="E298" s="10" t="n"/>
      <c r="F298" s="11">
        <f>IF(E298="","",IF(E298="Authorize.net","1 - Slam dunk",IF(OR(E298="E-commerce",E298="B2B",E298="Vendor"),"2 - Strong",IF(E298="Retail","3 - Good",IF(E298="Restaurant/Bar/Lounge","4 - Hardest","5 - Unknown")))))</f>
        <v/>
      </c>
      <c r="G298" s="10" t="n"/>
      <c r="H298" s="10" t="n"/>
      <c r="I298" s="10" t="n"/>
      <c r="J298" s="10" t="n"/>
      <c r="K298" s="10" t="n"/>
      <c r="L298" s="10" t="n"/>
      <c r="M298" s="12" t="n"/>
      <c r="N298" s="10" t="n"/>
      <c r="O298" s="10" t="n"/>
    </row>
    <row r="299">
      <c r="A299" s="10" t="n"/>
      <c r="B299" s="10" t="n"/>
      <c r="C299" s="10" t="n"/>
      <c r="D299" s="10" t="n"/>
      <c r="E299" s="10" t="n"/>
      <c r="F299" s="11">
        <f>IF(E299="","",IF(E299="Authorize.net","1 - Slam dunk",IF(OR(E299="E-commerce",E299="B2B",E299="Vendor"),"2 - Strong",IF(E299="Retail","3 - Good",IF(E299="Restaurant/Bar/Lounge","4 - Hardest","5 - Unknown")))))</f>
        <v/>
      </c>
      <c r="G299" s="10" t="n"/>
      <c r="H299" s="10" t="n"/>
      <c r="I299" s="10" t="n"/>
      <c r="J299" s="10" t="n"/>
      <c r="K299" s="10" t="n"/>
      <c r="L299" s="10" t="n"/>
      <c r="M299" s="12" t="n"/>
      <c r="N299" s="10" t="n"/>
      <c r="O299" s="10" t="n"/>
    </row>
    <row r="300">
      <c r="A300" s="10" t="n"/>
      <c r="B300" s="10" t="n"/>
      <c r="C300" s="10" t="n"/>
      <c r="D300" s="10" t="n"/>
      <c r="E300" s="10" t="n"/>
      <c r="F300" s="11">
        <f>IF(E300="","",IF(E300="Authorize.net","1 - Slam dunk",IF(OR(E300="E-commerce",E300="B2B",E300="Vendor"),"2 - Strong",IF(E300="Retail","3 - Good",IF(E300="Restaurant/Bar/Lounge","4 - Hardest","5 - Unknown")))))</f>
        <v/>
      </c>
      <c r="G300" s="10" t="n"/>
      <c r="H300" s="10" t="n"/>
      <c r="I300" s="10" t="n"/>
      <c r="J300" s="10" t="n"/>
      <c r="K300" s="10" t="n"/>
      <c r="L300" s="10" t="n"/>
      <c r="M300" s="12" t="n"/>
      <c r="N300" s="10" t="n"/>
      <c r="O300" s="10" t="n"/>
    </row>
    <row r="301">
      <c r="A301" s="10" t="n"/>
      <c r="B301" s="10" t="n"/>
      <c r="C301" s="10" t="n"/>
      <c r="D301" s="10" t="n"/>
      <c r="E301" s="10" t="n"/>
      <c r="F301" s="11">
        <f>IF(E301="","",IF(E301="Authorize.net","1 - Slam dunk",IF(OR(E301="E-commerce",E301="B2B",E301="Vendor"),"2 - Strong",IF(E301="Retail","3 - Good",IF(E301="Restaurant/Bar/Lounge","4 - Hardest","5 - Unknown")))))</f>
        <v/>
      </c>
      <c r="G301" s="10" t="n"/>
      <c r="H301" s="10" t="n"/>
      <c r="I301" s="10" t="n"/>
      <c r="J301" s="10" t="n"/>
      <c r="K301" s="10" t="n"/>
      <c r="L301" s="10" t="n"/>
      <c r="M301" s="12" t="n"/>
      <c r="N301" s="10" t="n"/>
      <c r="O301" s="10" t="n"/>
    </row>
    <row r="302">
      <c r="A302" s="10" t="n"/>
      <c r="B302" s="10" t="n"/>
      <c r="C302" s="10" t="n"/>
      <c r="D302" s="10" t="n"/>
      <c r="E302" s="10" t="n"/>
      <c r="F302" s="11">
        <f>IF(E302="","",IF(E302="Authorize.net","1 - Slam dunk",IF(OR(E302="E-commerce",E302="B2B",E302="Vendor"),"2 - Strong",IF(E302="Retail","3 - Good",IF(E302="Restaurant/Bar/Lounge","4 - Hardest","5 - Unknown")))))</f>
        <v/>
      </c>
      <c r="G302" s="10" t="n"/>
      <c r="H302" s="10" t="n"/>
      <c r="I302" s="10" t="n"/>
      <c r="J302" s="10" t="n"/>
      <c r="K302" s="10" t="n"/>
      <c r="L302" s="10" t="n"/>
      <c r="M302" s="12" t="n"/>
      <c r="N302" s="10" t="n"/>
      <c r="O302" s="10" t="n"/>
    </row>
    <row r="303">
      <c r="A303" s="10" t="n"/>
      <c r="B303" s="10" t="n"/>
      <c r="C303" s="10" t="n"/>
      <c r="D303" s="10" t="n"/>
      <c r="E303" s="10" t="n"/>
      <c r="F303" s="11">
        <f>IF(E303="","",IF(E303="Authorize.net","1 - Slam dunk",IF(OR(E303="E-commerce",E303="B2B",E303="Vendor"),"2 - Strong",IF(E303="Retail","3 - Good",IF(E303="Restaurant/Bar/Lounge","4 - Hardest","5 - Unknown")))))</f>
        <v/>
      </c>
      <c r="G303" s="10" t="n"/>
      <c r="H303" s="10" t="n"/>
      <c r="I303" s="10" t="n"/>
      <c r="J303" s="10" t="n"/>
      <c r="K303" s="10" t="n"/>
      <c r="L303" s="10" t="n"/>
      <c r="M303" s="12" t="n"/>
      <c r="N303" s="10" t="n"/>
      <c r="O303" s="10" t="n"/>
    </row>
    <row r="304">
      <c r="A304" s="10" t="n"/>
      <c r="B304" s="10" t="n"/>
      <c r="C304" s="10" t="n"/>
      <c r="D304" s="10" t="n"/>
      <c r="E304" s="10" t="n"/>
      <c r="F304" s="11">
        <f>IF(E304="","",IF(E304="Authorize.net","1 - Slam dunk",IF(OR(E304="E-commerce",E304="B2B",E304="Vendor"),"2 - Strong",IF(E304="Retail","3 - Good",IF(E304="Restaurant/Bar/Lounge","4 - Hardest","5 - Unknown")))))</f>
        <v/>
      </c>
      <c r="G304" s="10" t="n"/>
      <c r="H304" s="10" t="n"/>
      <c r="I304" s="10" t="n"/>
      <c r="J304" s="10" t="n"/>
      <c r="K304" s="10" t="n"/>
      <c r="L304" s="10" t="n"/>
      <c r="M304" s="12" t="n"/>
      <c r="N304" s="10" t="n"/>
      <c r="O304" s="10" t="n"/>
    </row>
    <row r="305">
      <c r="A305" s="10" t="n"/>
      <c r="B305" s="10" t="n"/>
      <c r="C305" s="10" t="n"/>
      <c r="D305" s="10" t="n"/>
      <c r="E305" s="10" t="n"/>
      <c r="F305" s="11">
        <f>IF(E305="","",IF(E305="Authorize.net","1 - Slam dunk",IF(OR(E305="E-commerce",E305="B2B",E305="Vendor"),"2 - Strong",IF(E305="Retail","3 - Good",IF(E305="Restaurant/Bar/Lounge","4 - Hardest","5 - Unknown")))))</f>
        <v/>
      </c>
      <c r="G305" s="10" t="n"/>
      <c r="H305" s="10" t="n"/>
      <c r="I305" s="10" t="n"/>
      <c r="J305" s="10" t="n"/>
      <c r="K305" s="10" t="n"/>
      <c r="L305" s="10" t="n"/>
      <c r="M305" s="12" t="n"/>
      <c r="N305" s="10" t="n"/>
      <c r="O305" s="10" t="n"/>
    </row>
    <row r="306">
      <c r="A306" s="10" t="n"/>
      <c r="B306" s="10" t="n"/>
      <c r="C306" s="10" t="n"/>
      <c r="D306" s="10" t="n"/>
      <c r="E306" s="10" t="n"/>
      <c r="F306" s="11">
        <f>IF(E306="","",IF(E306="Authorize.net","1 - Slam dunk",IF(OR(E306="E-commerce",E306="B2B",E306="Vendor"),"2 - Strong",IF(E306="Retail","3 - Good",IF(E306="Restaurant/Bar/Lounge","4 - Hardest","5 - Unknown")))))</f>
        <v/>
      </c>
      <c r="G306" s="10" t="n"/>
      <c r="H306" s="10" t="n"/>
      <c r="I306" s="10" t="n"/>
      <c r="J306" s="10" t="n"/>
      <c r="K306" s="10" t="n"/>
      <c r="L306" s="10" t="n"/>
      <c r="M306" s="12" t="n"/>
      <c r="N306" s="10" t="n"/>
      <c r="O306" s="10" t="n"/>
    </row>
    <row r="307">
      <c r="A307" s="10" t="n"/>
      <c r="B307" s="10" t="n"/>
      <c r="C307" s="10" t="n"/>
      <c r="D307" s="10" t="n"/>
      <c r="E307" s="10" t="n"/>
      <c r="F307" s="11">
        <f>IF(E307="","",IF(E307="Authorize.net","1 - Slam dunk",IF(OR(E307="E-commerce",E307="B2B",E307="Vendor"),"2 - Strong",IF(E307="Retail","3 - Good",IF(E307="Restaurant/Bar/Lounge","4 - Hardest","5 - Unknown")))))</f>
        <v/>
      </c>
      <c r="G307" s="10" t="n"/>
      <c r="H307" s="10" t="n"/>
      <c r="I307" s="10" t="n"/>
      <c r="J307" s="10" t="n"/>
      <c r="K307" s="10" t="n"/>
      <c r="L307" s="10" t="n"/>
      <c r="M307" s="12" t="n"/>
      <c r="N307" s="10" t="n"/>
      <c r="O307" s="10" t="n"/>
    </row>
    <row r="308">
      <c r="A308" s="10" t="n"/>
      <c r="B308" s="10" t="n"/>
      <c r="C308" s="10" t="n"/>
      <c r="D308" s="10" t="n"/>
      <c r="E308" s="10" t="n"/>
      <c r="F308" s="11">
        <f>IF(E308="","",IF(E308="Authorize.net","1 - Slam dunk",IF(OR(E308="E-commerce",E308="B2B",E308="Vendor"),"2 - Strong",IF(E308="Retail","3 - Good",IF(E308="Restaurant/Bar/Lounge","4 - Hardest","5 - Unknown")))))</f>
        <v/>
      </c>
      <c r="G308" s="10" t="n"/>
      <c r="H308" s="10" t="n"/>
      <c r="I308" s="10" t="n"/>
      <c r="J308" s="10" t="n"/>
      <c r="K308" s="10" t="n"/>
      <c r="L308" s="10" t="n"/>
      <c r="M308" s="12" t="n"/>
      <c r="N308" s="10" t="n"/>
      <c r="O308" s="10" t="n"/>
    </row>
    <row r="309">
      <c r="A309" s="10" t="n"/>
      <c r="B309" s="10" t="n"/>
      <c r="C309" s="10" t="n"/>
      <c r="D309" s="10" t="n"/>
      <c r="E309" s="10" t="n"/>
      <c r="F309" s="11">
        <f>IF(E309="","",IF(E309="Authorize.net","1 - Slam dunk",IF(OR(E309="E-commerce",E309="B2B",E309="Vendor"),"2 - Strong",IF(E309="Retail","3 - Good",IF(E309="Restaurant/Bar/Lounge","4 - Hardest","5 - Unknown")))))</f>
        <v/>
      </c>
      <c r="G309" s="10" t="n"/>
      <c r="H309" s="10" t="n"/>
      <c r="I309" s="10" t="n"/>
      <c r="J309" s="10" t="n"/>
      <c r="K309" s="10" t="n"/>
      <c r="L309" s="10" t="n"/>
      <c r="M309" s="12" t="n"/>
      <c r="N309" s="10" t="n"/>
      <c r="O309" s="10" t="n"/>
    </row>
    <row r="310">
      <c r="A310" s="10" t="n"/>
      <c r="B310" s="10" t="n"/>
      <c r="C310" s="10" t="n"/>
      <c r="D310" s="10" t="n"/>
      <c r="E310" s="10" t="n"/>
      <c r="F310" s="11">
        <f>IF(E310="","",IF(E310="Authorize.net","1 - Slam dunk",IF(OR(E310="E-commerce",E310="B2B",E310="Vendor"),"2 - Strong",IF(E310="Retail","3 - Good",IF(E310="Restaurant/Bar/Lounge","4 - Hardest","5 - Unknown")))))</f>
        <v/>
      </c>
      <c r="G310" s="10" t="n"/>
      <c r="H310" s="10" t="n"/>
      <c r="I310" s="10" t="n"/>
      <c r="J310" s="10" t="n"/>
      <c r="K310" s="10" t="n"/>
      <c r="L310" s="10" t="n"/>
      <c r="M310" s="12" t="n"/>
      <c r="N310" s="10" t="n"/>
      <c r="O310" s="10" t="n"/>
    </row>
    <row r="311">
      <c r="A311" s="10" t="n"/>
      <c r="B311" s="10" t="n"/>
      <c r="C311" s="10" t="n"/>
      <c r="D311" s="10" t="n"/>
      <c r="E311" s="10" t="n"/>
      <c r="F311" s="11">
        <f>IF(E311="","",IF(E311="Authorize.net","1 - Slam dunk",IF(OR(E311="E-commerce",E311="B2B",E311="Vendor"),"2 - Strong",IF(E311="Retail","3 - Good",IF(E311="Restaurant/Bar/Lounge","4 - Hardest","5 - Unknown")))))</f>
        <v/>
      </c>
      <c r="G311" s="10" t="n"/>
      <c r="H311" s="10" t="n"/>
      <c r="I311" s="10" t="n"/>
      <c r="J311" s="10" t="n"/>
      <c r="K311" s="10" t="n"/>
      <c r="L311" s="10" t="n"/>
      <c r="M311" s="12" t="n"/>
      <c r="N311" s="10" t="n"/>
      <c r="O311" s="10" t="n"/>
    </row>
    <row r="312">
      <c r="A312" s="10" t="n"/>
      <c r="B312" s="10" t="n"/>
      <c r="C312" s="10" t="n"/>
      <c r="D312" s="10" t="n"/>
      <c r="E312" s="10" t="n"/>
      <c r="F312" s="11">
        <f>IF(E312="","",IF(E312="Authorize.net","1 - Slam dunk",IF(OR(E312="E-commerce",E312="B2B",E312="Vendor"),"2 - Strong",IF(E312="Retail","3 - Good",IF(E312="Restaurant/Bar/Lounge","4 - Hardest","5 - Unknown")))))</f>
        <v/>
      </c>
      <c r="G312" s="10" t="n"/>
      <c r="H312" s="10" t="n"/>
      <c r="I312" s="10" t="n"/>
      <c r="J312" s="10" t="n"/>
      <c r="K312" s="10" t="n"/>
      <c r="L312" s="10" t="n"/>
      <c r="M312" s="12" t="n"/>
      <c r="N312" s="10" t="n"/>
      <c r="O312" s="10" t="n"/>
    </row>
    <row r="313">
      <c r="A313" s="10" t="n"/>
      <c r="B313" s="10" t="n"/>
      <c r="C313" s="10" t="n"/>
      <c r="D313" s="10" t="n"/>
      <c r="E313" s="10" t="n"/>
      <c r="F313" s="11">
        <f>IF(E313="","",IF(E313="Authorize.net","1 - Slam dunk",IF(OR(E313="E-commerce",E313="B2B",E313="Vendor"),"2 - Strong",IF(E313="Retail","3 - Good",IF(E313="Restaurant/Bar/Lounge","4 - Hardest","5 - Unknown")))))</f>
        <v/>
      </c>
      <c r="G313" s="10" t="n"/>
      <c r="H313" s="10" t="n"/>
      <c r="I313" s="10" t="n"/>
      <c r="J313" s="10" t="n"/>
      <c r="K313" s="10" t="n"/>
      <c r="L313" s="10" t="n"/>
      <c r="M313" s="12" t="n"/>
      <c r="N313" s="10" t="n"/>
      <c r="O313" s="10" t="n"/>
    </row>
    <row r="314">
      <c r="A314" s="10" t="n"/>
      <c r="B314" s="10" t="n"/>
      <c r="C314" s="10" t="n"/>
      <c r="D314" s="10" t="n"/>
      <c r="E314" s="10" t="n"/>
      <c r="F314" s="11">
        <f>IF(E314="","",IF(E314="Authorize.net","1 - Slam dunk",IF(OR(E314="E-commerce",E314="B2B",E314="Vendor"),"2 - Strong",IF(E314="Retail","3 - Good",IF(E314="Restaurant/Bar/Lounge","4 - Hardest","5 - Unknown")))))</f>
        <v/>
      </c>
      <c r="G314" s="10" t="n"/>
      <c r="H314" s="10" t="n"/>
      <c r="I314" s="10" t="n"/>
      <c r="J314" s="10" t="n"/>
      <c r="K314" s="10" t="n"/>
      <c r="L314" s="10" t="n"/>
      <c r="M314" s="12" t="n"/>
      <c r="N314" s="10" t="n"/>
      <c r="O314" s="10" t="n"/>
    </row>
    <row r="315">
      <c r="A315" s="10" t="n"/>
      <c r="B315" s="10" t="n"/>
      <c r="C315" s="10" t="n"/>
      <c r="D315" s="10" t="n"/>
      <c r="E315" s="10" t="n"/>
      <c r="F315" s="11">
        <f>IF(E315="","",IF(E315="Authorize.net","1 - Slam dunk",IF(OR(E315="E-commerce",E315="B2B",E315="Vendor"),"2 - Strong",IF(E315="Retail","3 - Good",IF(E315="Restaurant/Bar/Lounge","4 - Hardest","5 - Unknown")))))</f>
        <v/>
      </c>
      <c r="G315" s="10" t="n"/>
      <c r="H315" s="10" t="n"/>
      <c r="I315" s="10" t="n"/>
      <c r="J315" s="10" t="n"/>
      <c r="K315" s="10" t="n"/>
      <c r="L315" s="10" t="n"/>
      <c r="M315" s="12" t="n"/>
      <c r="N315" s="10" t="n"/>
      <c r="O315" s="10" t="n"/>
    </row>
    <row r="316">
      <c r="A316" s="10" t="n"/>
      <c r="B316" s="10" t="n"/>
      <c r="C316" s="10" t="n"/>
      <c r="D316" s="10" t="n"/>
      <c r="E316" s="10" t="n"/>
      <c r="F316" s="11">
        <f>IF(E316="","",IF(E316="Authorize.net","1 - Slam dunk",IF(OR(E316="E-commerce",E316="B2B",E316="Vendor"),"2 - Strong",IF(E316="Retail","3 - Good",IF(E316="Restaurant/Bar/Lounge","4 - Hardest","5 - Unknown")))))</f>
        <v/>
      </c>
      <c r="G316" s="10" t="n"/>
      <c r="H316" s="10" t="n"/>
      <c r="I316" s="10" t="n"/>
      <c r="J316" s="10" t="n"/>
      <c r="K316" s="10" t="n"/>
      <c r="L316" s="10" t="n"/>
      <c r="M316" s="12" t="n"/>
      <c r="N316" s="10" t="n"/>
      <c r="O316" s="10" t="n"/>
    </row>
    <row r="317">
      <c r="A317" s="10" t="n"/>
      <c r="B317" s="10" t="n"/>
      <c r="C317" s="10" t="n"/>
      <c r="D317" s="10" t="n"/>
      <c r="E317" s="10" t="n"/>
      <c r="F317" s="11">
        <f>IF(E317="","",IF(E317="Authorize.net","1 - Slam dunk",IF(OR(E317="E-commerce",E317="B2B",E317="Vendor"),"2 - Strong",IF(E317="Retail","3 - Good",IF(E317="Restaurant/Bar/Lounge","4 - Hardest","5 - Unknown")))))</f>
        <v/>
      </c>
      <c r="G317" s="10" t="n"/>
      <c r="H317" s="10" t="n"/>
      <c r="I317" s="10" t="n"/>
      <c r="J317" s="10" t="n"/>
      <c r="K317" s="10" t="n"/>
      <c r="L317" s="10" t="n"/>
      <c r="M317" s="12" t="n"/>
      <c r="N317" s="10" t="n"/>
      <c r="O317" s="10" t="n"/>
    </row>
    <row r="318">
      <c r="A318" s="10" t="n"/>
      <c r="B318" s="10" t="n"/>
      <c r="C318" s="10" t="n"/>
      <c r="D318" s="10" t="n"/>
      <c r="E318" s="10" t="n"/>
      <c r="F318" s="11">
        <f>IF(E318="","",IF(E318="Authorize.net","1 - Slam dunk",IF(OR(E318="E-commerce",E318="B2B",E318="Vendor"),"2 - Strong",IF(E318="Retail","3 - Good",IF(E318="Restaurant/Bar/Lounge","4 - Hardest","5 - Unknown")))))</f>
        <v/>
      </c>
      <c r="G318" s="10" t="n"/>
      <c r="H318" s="10" t="n"/>
      <c r="I318" s="10" t="n"/>
      <c r="J318" s="10" t="n"/>
      <c r="K318" s="10" t="n"/>
      <c r="L318" s="10" t="n"/>
      <c r="M318" s="12" t="n"/>
      <c r="N318" s="10" t="n"/>
      <c r="O318" s="10" t="n"/>
    </row>
    <row r="319">
      <c r="A319" s="10" t="n"/>
      <c r="B319" s="10" t="n"/>
      <c r="C319" s="10" t="n"/>
      <c r="D319" s="10" t="n"/>
      <c r="E319" s="10" t="n"/>
      <c r="F319" s="11">
        <f>IF(E319="","",IF(E319="Authorize.net","1 - Slam dunk",IF(OR(E319="E-commerce",E319="B2B",E319="Vendor"),"2 - Strong",IF(E319="Retail","3 - Good",IF(E319="Restaurant/Bar/Lounge","4 - Hardest","5 - Unknown")))))</f>
        <v/>
      </c>
      <c r="G319" s="10" t="n"/>
      <c r="H319" s="10" t="n"/>
      <c r="I319" s="10" t="n"/>
      <c r="J319" s="10" t="n"/>
      <c r="K319" s="10" t="n"/>
      <c r="L319" s="10" t="n"/>
      <c r="M319" s="12" t="n"/>
      <c r="N319" s="10" t="n"/>
      <c r="O319" s="10" t="n"/>
    </row>
    <row r="320">
      <c r="A320" s="10" t="n"/>
      <c r="B320" s="10" t="n"/>
      <c r="C320" s="10" t="n"/>
      <c r="D320" s="10" t="n"/>
      <c r="E320" s="10" t="n"/>
      <c r="F320" s="11">
        <f>IF(E320="","",IF(E320="Authorize.net","1 - Slam dunk",IF(OR(E320="E-commerce",E320="B2B",E320="Vendor"),"2 - Strong",IF(E320="Retail","3 - Good",IF(E320="Restaurant/Bar/Lounge","4 - Hardest","5 - Unknown")))))</f>
        <v/>
      </c>
      <c r="G320" s="10" t="n"/>
      <c r="H320" s="10" t="n"/>
      <c r="I320" s="10" t="n"/>
      <c r="J320" s="10" t="n"/>
      <c r="K320" s="10" t="n"/>
      <c r="L320" s="10" t="n"/>
      <c r="M320" s="12" t="n"/>
      <c r="N320" s="10" t="n"/>
      <c r="O320" s="10" t="n"/>
    </row>
    <row r="321">
      <c r="A321" s="10" t="n"/>
      <c r="B321" s="10" t="n"/>
      <c r="C321" s="10" t="n"/>
      <c r="D321" s="10" t="n"/>
      <c r="E321" s="10" t="n"/>
      <c r="F321" s="11">
        <f>IF(E321="","",IF(E321="Authorize.net","1 - Slam dunk",IF(OR(E321="E-commerce",E321="B2B",E321="Vendor"),"2 - Strong",IF(E321="Retail","3 - Good",IF(E321="Restaurant/Bar/Lounge","4 - Hardest","5 - Unknown")))))</f>
        <v/>
      </c>
      <c r="G321" s="10" t="n"/>
      <c r="H321" s="10" t="n"/>
      <c r="I321" s="10" t="n"/>
      <c r="J321" s="10" t="n"/>
      <c r="K321" s="10" t="n"/>
      <c r="L321" s="10" t="n"/>
      <c r="M321" s="12" t="n"/>
      <c r="N321" s="10" t="n"/>
      <c r="O321" s="10" t="n"/>
    </row>
    <row r="322">
      <c r="A322" s="10" t="n"/>
      <c r="B322" s="10" t="n"/>
      <c r="C322" s="10" t="n"/>
      <c r="D322" s="10" t="n"/>
      <c r="E322" s="10" t="n"/>
      <c r="F322" s="11">
        <f>IF(E322="","",IF(E322="Authorize.net","1 - Slam dunk",IF(OR(E322="E-commerce",E322="B2B",E322="Vendor"),"2 - Strong",IF(E322="Retail","3 - Good",IF(E322="Restaurant/Bar/Lounge","4 - Hardest","5 - Unknown")))))</f>
        <v/>
      </c>
      <c r="G322" s="10" t="n"/>
      <c r="H322" s="10" t="n"/>
      <c r="I322" s="10" t="n"/>
      <c r="J322" s="10" t="n"/>
      <c r="K322" s="10" t="n"/>
      <c r="L322" s="10" t="n"/>
      <c r="M322" s="12" t="n"/>
      <c r="N322" s="10" t="n"/>
      <c r="O322" s="10" t="n"/>
    </row>
    <row r="323">
      <c r="A323" s="10" t="n"/>
      <c r="B323" s="10" t="n"/>
      <c r="C323" s="10" t="n"/>
      <c r="D323" s="10" t="n"/>
      <c r="E323" s="10" t="n"/>
      <c r="F323" s="11">
        <f>IF(E323="","",IF(E323="Authorize.net","1 - Slam dunk",IF(OR(E323="E-commerce",E323="B2B",E323="Vendor"),"2 - Strong",IF(E323="Retail","3 - Good",IF(E323="Restaurant/Bar/Lounge","4 - Hardest","5 - Unknown")))))</f>
        <v/>
      </c>
      <c r="G323" s="10" t="n"/>
      <c r="H323" s="10" t="n"/>
      <c r="I323" s="10" t="n"/>
      <c r="J323" s="10" t="n"/>
      <c r="K323" s="10" t="n"/>
      <c r="L323" s="10" t="n"/>
      <c r="M323" s="12" t="n"/>
      <c r="N323" s="10" t="n"/>
      <c r="O323" s="10" t="n"/>
    </row>
    <row r="324">
      <c r="A324" s="10" t="n"/>
      <c r="B324" s="10" t="n"/>
      <c r="C324" s="10" t="n"/>
      <c r="D324" s="10" t="n"/>
      <c r="E324" s="10" t="n"/>
      <c r="F324" s="11">
        <f>IF(E324="","",IF(E324="Authorize.net","1 - Slam dunk",IF(OR(E324="E-commerce",E324="B2B",E324="Vendor"),"2 - Strong",IF(E324="Retail","3 - Good",IF(E324="Restaurant/Bar/Lounge","4 - Hardest","5 - Unknown")))))</f>
        <v/>
      </c>
      <c r="G324" s="10" t="n"/>
      <c r="H324" s="10" t="n"/>
      <c r="I324" s="10" t="n"/>
      <c r="J324" s="10" t="n"/>
      <c r="K324" s="10" t="n"/>
      <c r="L324" s="10" t="n"/>
      <c r="M324" s="12" t="n"/>
      <c r="N324" s="10" t="n"/>
      <c r="O324" s="10" t="n"/>
    </row>
    <row r="325">
      <c r="A325" s="10" t="n"/>
      <c r="B325" s="10" t="n"/>
      <c r="C325" s="10" t="n"/>
      <c r="D325" s="10" t="n"/>
      <c r="E325" s="10" t="n"/>
      <c r="F325" s="11">
        <f>IF(E325="","",IF(E325="Authorize.net","1 - Slam dunk",IF(OR(E325="E-commerce",E325="B2B",E325="Vendor"),"2 - Strong",IF(E325="Retail","3 - Good",IF(E325="Restaurant/Bar/Lounge","4 - Hardest","5 - Unknown")))))</f>
        <v/>
      </c>
      <c r="G325" s="10" t="n"/>
      <c r="H325" s="10" t="n"/>
      <c r="I325" s="10" t="n"/>
      <c r="J325" s="10" t="n"/>
      <c r="K325" s="10" t="n"/>
      <c r="L325" s="10" t="n"/>
      <c r="M325" s="12" t="n"/>
      <c r="N325" s="10" t="n"/>
      <c r="O325" s="10" t="n"/>
    </row>
    <row r="326">
      <c r="A326" s="10" t="n"/>
      <c r="B326" s="10" t="n"/>
      <c r="C326" s="10" t="n"/>
      <c r="D326" s="10" t="n"/>
      <c r="E326" s="10" t="n"/>
      <c r="F326" s="11">
        <f>IF(E326="","",IF(E326="Authorize.net","1 - Slam dunk",IF(OR(E326="E-commerce",E326="B2B",E326="Vendor"),"2 - Strong",IF(E326="Retail","3 - Good",IF(E326="Restaurant/Bar/Lounge","4 - Hardest","5 - Unknown")))))</f>
        <v/>
      </c>
      <c r="G326" s="10" t="n"/>
      <c r="H326" s="10" t="n"/>
      <c r="I326" s="10" t="n"/>
      <c r="J326" s="10" t="n"/>
      <c r="K326" s="10" t="n"/>
      <c r="L326" s="10" t="n"/>
      <c r="M326" s="12" t="n"/>
      <c r="N326" s="10" t="n"/>
      <c r="O326" s="10" t="n"/>
    </row>
    <row r="327">
      <c r="A327" s="10" t="n"/>
      <c r="B327" s="10" t="n"/>
      <c r="C327" s="10" t="n"/>
      <c r="D327" s="10" t="n"/>
      <c r="E327" s="10" t="n"/>
      <c r="F327" s="11">
        <f>IF(E327="","",IF(E327="Authorize.net","1 - Slam dunk",IF(OR(E327="E-commerce",E327="B2B",E327="Vendor"),"2 - Strong",IF(E327="Retail","3 - Good",IF(E327="Restaurant/Bar/Lounge","4 - Hardest","5 - Unknown")))))</f>
        <v/>
      </c>
      <c r="G327" s="10" t="n"/>
      <c r="H327" s="10" t="n"/>
      <c r="I327" s="10" t="n"/>
      <c r="J327" s="10" t="n"/>
      <c r="K327" s="10" t="n"/>
      <c r="L327" s="10" t="n"/>
      <c r="M327" s="12" t="n"/>
      <c r="N327" s="10" t="n"/>
      <c r="O327" s="10" t="n"/>
    </row>
    <row r="328">
      <c r="A328" s="10" t="n"/>
      <c r="B328" s="10" t="n"/>
      <c r="C328" s="10" t="n"/>
      <c r="D328" s="10" t="n"/>
      <c r="E328" s="10" t="n"/>
      <c r="F328" s="11">
        <f>IF(E328="","",IF(E328="Authorize.net","1 - Slam dunk",IF(OR(E328="E-commerce",E328="B2B",E328="Vendor"),"2 - Strong",IF(E328="Retail","3 - Good",IF(E328="Restaurant/Bar/Lounge","4 - Hardest","5 - Unknown")))))</f>
        <v/>
      </c>
      <c r="G328" s="10" t="n"/>
      <c r="H328" s="10" t="n"/>
      <c r="I328" s="10" t="n"/>
      <c r="J328" s="10" t="n"/>
      <c r="K328" s="10" t="n"/>
      <c r="L328" s="10" t="n"/>
      <c r="M328" s="12" t="n"/>
      <c r="N328" s="10" t="n"/>
      <c r="O328" s="10" t="n"/>
    </row>
    <row r="329">
      <c r="A329" s="10" t="n"/>
      <c r="B329" s="10" t="n"/>
      <c r="C329" s="10" t="n"/>
      <c r="D329" s="10" t="n"/>
      <c r="E329" s="10" t="n"/>
      <c r="F329" s="11">
        <f>IF(E329="","",IF(E329="Authorize.net","1 - Slam dunk",IF(OR(E329="E-commerce",E329="B2B",E329="Vendor"),"2 - Strong",IF(E329="Retail","3 - Good",IF(E329="Restaurant/Bar/Lounge","4 - Hardest","5 - Unknown")))))</f>
        <v/>
      </c>
      <c r="G329" s="10" t="n"/>
      <c r="H329" s="10" t="n"/>
      <c r="I329" s="10" t="n"/>
      <c r="J329" s="10" t="n"/>
      <c r="K329" s="10" t="n"/>
      <c r="L329" s="10" t="n"/>
      <c r="M329" s="12" t="n"/>
      <c r="N329" s="10" t="n"/>
      <c r="O329" s="10" t="n"/>
    </row>
    <row r="330">
      <c r="A330" s="10" t="n"/>
      <c r="B330" s="10" t="n"/>
      <c r="C330" s="10" t="n"/>
      <c r="D330" s="10" t="n"/>
      <c r="E330" s="10" t="n"/>
      <c r="F330" s="11">
        <f>IF(E330="","",IF(E330="Authorize.net","1 - Slam dunk",IF(OR(E330="E-commerce",E330="B2B",E330="Vendor"),"2 - Strong",IF(E330="Retail","3 - Good",IF(E330="Restaurant/Bar/Lounge","4 - Hardest","5 - Unknown")))))</f>
        <v/>
      </c>
      <c r="G330" s="10" t="n"/>
      <c r="H330" s="10" t="n"/>
      <c r="I330" s="10" t="n"/>
      <c r="J330" s="10" t="n"/>
      <c r="K330" s="10" t="n"/>
      <c r="L330" s="10" t="n"/>
      <c r="M330" s="12" t="n"/>
      <c r="N330" s="10" t="n"/>
      <c r="O330" s="10" t="n"/>
    </row>
    <row r="331">
      <c r="A331" s="10" t="n"/>
      <c r="B331" s="10" t="n"/>
      <c r="C331" s="10" t="n"/>
      <c r="D331" s="10" t="n"/>
      <c r="E331" s="10" t="n"/>
      <c r="F331" s="11">
        <f>IF(E331="","",IF(E331="Authorize.net","1 - Slam dunk",IF(OR(E331="E-commerce",E331="B2B",E331="Vendor"),"2 - Strong",IF(E331="Retail","3 - Good",IF(E331="Restaurant/Bar/Lounge","4 - Hardest","5 - Unknown")))))</f>
        <v/>
      </c>
      <c r="G331" s="10" t="n"/>
      <c r="H331" s="10" t="n"/>
      <c r="I331" s="10" t="n"/>
      <c r="J331" s="10" t="n"/>
      <c r="K331" s="10" t="n"/>
      <c r="L331" s="10" t="n"/>
      <c r="M331" s="12" t="n"/>
      <c r="N331" s="10" t="n"/>
      <c r="O331" s="10" t="n"/>
    </row>
    <row r="332">
      <c r="A332" s="10" t="n"/>
      <c r="B332" s="10" t="n"/>
      <c r="C332" s="10" t="n"/>
      <c r="D332" s="10" t="n"/>
      <c r="E332" s="10" t="n"/>
      <c r="F332" s="11">
        <f>IF(E332="","",IF(E332="Authorize.net","1 - Slam dunk",IF(OR(E332="E-commerce",E332="B2B",E332="Vendor"),"2 - Strong",IF(E332="Retail","3 - Good",IF(E332="Restaurant/Bar/Lounge","4 - Hardest","5 - Unknown")))))</f>
        <v/>
      </c>
      <c r="G332" s="10" t="n"/>
      <c r="H332" s="10" t="n"/>
      <c r="I332" s="10" t="n"/>
      <c r="J332" s="10" t="n"/>
      <c r="K332" s="10" t="n"/>
      <c r="L332" s="10" t="n"/>
      <c r="M332" s="12" t="n"/>
      <c r="N332" s="10" t="n"/>
      <c r="O332" s="10" t="n"/>
    </row>
    <row r="333">
      <c r="A333" s="10" t="n"/>
      <c r="B333" s="10" t="n"/>
      <c r="C333" s="10" t="n"/>
      <c r="D333" s="10" t="n"/>
      <c r="E333" s="10" t="n"/>
      <c r="F333" s="11">
        <f>IF(E333="","",IF(E333="Authorize.net","1 - Slam dunk",IF(OR(E333="E-commerce",E333="B2B",E333="Vendor"),"2 - Strong",IF(E333="Retail","3 - Good",IF(E333="Restaurant/Bar/Lounge","4 - Hardest","5 - Unknown")))))</f>
        <v/>
      </c>
      <c r="G333" s="10" t="n"/>
      <c r="H333" s="10" t="n"/>
      <c r="I333" s="10" t="n"/>
      <c r="J333" s="10" t="n"/>
      <c r="K333" s="10" t="n"/>
      <c r="L333" s="10" t="n"/>
      <c r="M333" s="12" t="n"/>
      <c r="N333" s="10" t="n"/>
      <c r="O333" s="10" t="n"/>
    </row>
    <row r="334">
      <c r="A334" s="10" t="n"/>
      <c r="B334" s="10" t="n"/>
      <c r="C334" s="10" t="n"/>
      <c r="D334" s="10" t="n"/>
      <c r="E334" s="10" t="n"/>
      <c r="F334" s="11">
        <f>IF(E334="","",IF(E334="Authorize.net","1 - Slam dunk",IF(OR(E334="E-commerce",E334="B2B",E334="Vendor"),"2 - Strong",IF(E334="Retail","3 - Good",IF(E334="Restaurant/Bar/Lounge","4 - Hardest","5 - Unknown")))))</f>
        <v/>
      </c>
      <c r="G334" s="10" t="n"/>
      <c r="H334" s="10" t="n"/>
      <c r="I334" s="10" t="n"/>
      <c r="J334" s="10" t="n"/>
      <c r="K334" s="10" t="n"/>
      <c r="L334" s="10" t="n"/>
      <c r="M334" s="12" t="n"/>
      <c r="N334" s="10" t="n"/>
      <c r="O334" s="10" t="n"/>
    </row>
    <row r="335">
      <c r="A335" s="10" t="n"/>
      <c r="B335" s="10" t="n"/>
      <c r="C335" s="10" t="n"/>
      <c r="D335" s="10" t="n"/>
      <c r="E335" s="10" t="n"/>
      <c r="F335" s="11">
        <f>IF(E335="","",IF(E335="Authorize.net","1 - Slam dunk",IF(OR(E335="E-commerce",E335="B2B",E335="Vendor"),"2 - Strong",IF(E335="Retail","3 - Good",IF(E335="Restaurant/Bar/Lounge","4 - Hardest","5 - Unknown")))))</f>
        <v/>
      </c>
      <c r="G335" s="10" t="n"/>
      <c r="H335" s="10" t="n"/>
      <c r="I335" s="10" t="n"/>
      <c r="J335" s="10" t="n"/>
      <c r="K335" s="10" t="n"/>
      <c r="L335" s="10" t="n"/>
      <c r="M335" s="12" t="n"/>
      <c r="N335" s="10" t="n"/>
      <c r="O335" s="10" t="n"/>
    </row>
    <row r="336">
      <c r="A336" s="10" t="n"/>
      <c r="B336" s="10" t="n"/>
      <c r="C336" s="10" t="n"/>
      <c r="D336" s="10" t="n"/>
      <c r="E336" s="10" t="n"/>
      <c r="F336" s="11">
        <f>IF(E336="","",IF(E336="Authorize.net","1 - Slam dunk",IF(OR(E336="E-commerce",E336="B2B",E336="Vendor"),"2 - Strong",IF(E336="Retail","3 - Good",IF(E336="Restaurant/Bar/Lounge","4 - Hardest","5 - Unknown")))))</f>
        <v/>
      </c>
      <c r="G336" s="10" t="n"/>
      <c r="H336" s="10" t="n"/>
      <c r="I336" s="10" t="n"/>
      <c r="J336" s="10" t="n"/>
      <c r="K336" s="10" t="n"/>
      <c r="L336" s="10" t="n"/>
      <c r="M336" s="12" t="n"/>
      <c r="N336" s="10" t="n"/>
      <c r="O336" s="10" t="n"/>
    </row>
    <row r="337">
      <c r="A337" s="10" t="n"/>
      <c r="B337" s="10" t="n"/>
      <c r="C337" s="10" t="n"/>
      <c r="D337" s="10" t="n"/>
      <c r="E337" s="10" t="n"/>
      <c r="F337" s="11">
        <f>IF(E337="","",IF(E337="Authorize.net","1 - Slam dunk",IF(OR(E337="E-commerce",E337="B2B",E337="Vendor"),"2 - Strong",IF(E337="Retail","3 - Good",IF(E337="Restaurant/Bar/Lounge","4 - Hardest","5 - Unknown")))))</f>
        <v/>
      </c>
      <c r="G337" s="10" t="n"/>
      <c r="H337" s="10" t="n"/>
      <c r="I337" s="10" t="n"/>
      <c r="J337" s="10" t="n"/>
      <c r="K337" s="10" t="n"/>
      <c r="L337" s="10" t="n"/>
      <c r="M337" s="12" t="n"/>
      <c r="N337" s="10" t="n"/>
      <c r="O337" s="10" t="n"/>
    </row>
    <row r="338">
      <c r="A338" s="10" t="n"/>
      <c r="B338" s="10" t="n"/>
      <c r="C338" s="10" t="n"/>
      <c r="D338" s="10" t="n"/>
      <c r="E338" s="10" t="n"/>
      <c r="F338" s="11">
        <f>IF(E338="","",IF(E338="Authorize.net","1 - Slam dunk",IF(OR(E338="E-commerce",E338="B2B",E338="Vendor"),"2 - Strong",IF(E338="Retail","3 - Good",IF(E338="Restaurant/Bar/Lounge","4 - Hardest","5 - Unknown")))))</f>
        <v/>
      </c>
      <c r="G338" s="10" t="n"/>
      <c r="H338" s="10" t="n"/>
      <c r="I338" s="10" t="n"/>
      <c r="J338" s="10" t="n"/>
      <c r="K338" s="10" t="n"/>
      <c r="L338" s="10" t="n"/>
      <c r="M338" s="12" t="n"/>
      <c r="N338" s="10" t="n"/>
      <c r="O338" s="10" t="n"/>
    </row>
    <row r="339">
      <c r="A339" s="10" t="n"/>
      <c r="B339" s="10" t="n"/>
      <c r="C339" s="10" t="n"/>
      <c r="D339" s="10" t="n"/>
      <c r="E339" s="10" t="n"/>
      <c r="F339" s="11">
        <f>IF(E339="","",IF(E339="Authorize.net","1 - Slam dunk",IF(OR(E339="E-commerce",E339="B2B",E339="Vendor"),"2 - Strong",IF(E339="Retail","3 - Good",IF(E339="Restaurant/Bar/Lounge","4 - Hardest","5 - Unknown")))))</f>
        <v/>
      </c>
      <c r="G339" s="10" t="n"/>
      <c r="H339" s="10" t="n"/>
      <c r="I339" s="10" t="n"/>
      <c r="J339" s="10" t="n"/>
      <c r="K339" s="10" t="n"/>
      <c r="L339" s="10" t="n"/>
      <c r="M339" s="12" t="n"/>
      <c r="N339" s="10" t="n"/>
      <c r="O339" s="10" t="n"/>
    </row>
    <row r="340">
      <c r="A340" s="10" t="n"/>
      <c r="B340" s="10" t="n"/>
      <c r="C340" s="10" t="n"/>
      <c r="D340" s="10" t="n"/>
      <c r="E340" s="10" t="n"/>
      <c r="F340" s="11">
        <f>IF(E340="","",IF(E340="Authorize.net","1 - Slam dunk",IF(OR(E340="E-commerce",E340="B2B",E340="Vendor"),"2 - Strong",IF(E340="Retail","3 - Good",IF(E340="Restaurant/Bar/Lounge","4 - Hardest","5 - Unknown")))))</f>
        <v/>
      </c>
      <c r="G340" s="10" t="n"/>
      <c r="H340" s="10" t="n"/>
      <c r="I340" s="10" t="n"/>
      <c r="J340" s="10" t="n"/>
      <c r="K340" s="10" t="n"/>
      <c r="L340" s="10" t="n"/>
      <c r="M340" s="12" t="n"/>
      <c r="N340" s="10" t="n"/>
      <c r="O340" s="10" t="n"/>
    </row>
    <row r="341">
      <c r="A341" s="10" t="n"/>
      <c r="B341" s="10" t="n"/>
      <c r="C341" s="10" t="n"/>
      <c r="D341" s="10" t="n"/>
      <c r="E341" s="10" t="n"/>
      <c r="F341" s="11">
        <f>IF(E341="","",IF(E341="Authorize.net","1 - Slam dunk",IF(OR(E341="E-commerce",E341="B2B",E341="Vendor"),"2 - Strong",IF(E341="Retail","3 - Good",IF(E341="Restaurant/Bar/Lounge","4 - Hardest","5 - Unknown")))))</f>
        <v/>
      </c>
      <c r="G341" s="10" t="n"/>
      <c r="H341" s="10" t="n"/>
      <c r="I341" s="10" t="n"/>
      <c r="J341" s="10" t="n"/>
      <c r="K341" s="10" t="n"/>
      <c r="L341" s="10" t="n"/>
      <c r="M341" s="12" t="n"/>
      <c r="N341" s="10" t="n"/>
      <c r="O341" s="10" t="n"/>
    </row>
    <row r="342">
      <c r="A342" s="10" t="n"/>
      <c r="B342" s="10" t="n"/>
      <c r="C342" s="10" t="n"/>
      <c r="D342" s="10" t="n"/>
      <c r="E342" s="10" t="n"/>
      <c r="F342" s="11">
        <f>IF(E342="","",IF(E342="Authorize.net","1 - Slam dunk",IF(OR(E342="E-commerce",E342="B2B",E342="Vendor"),"2 - Strong",IF(E342="Retail","3 - Good",IF(E342="Restaurant/Bar/Lounge","4 - Hardest","5 - Unknown")))))</f>
        <v/>
      </c>
      <c r="G342" s="10" t="n"/>
      <c r="H342" s="10" t="n"/>
      <c r="I342" s="10" t="n"/>
      <c r="J342" s="10" t="n"/>
      <c r="K342" s="10" t="n"/>
      <c r="L342" s="10" t="n"/>
      <c r="M342" s="12" t="n"/>
      <c r="N342" s="10" t="n"/>
      <c r="O342" s="10" t="n"/>
    </row>
    <row r="343">
      <c r="A343" s="10" t="n"/>
      <c r="B343" s="10" t="n"/>
      <c r="C343" s="10" t="n"/>
      <c r="D343" s="10" t="n"/>
      <c r="E343" s="10" t="n"/>
      <c r="F343" s="11">
        <f>IF(E343="","",IF(E343="Authorize.net","1 - Slam dunk",IF(OR(E343="E-commerce",E343="B2B",E343="Vendor"),"2 - Strong",IF(E343="Retail","3 - Good",IF(E343="Restaurant/Bar/Lounge","4 - Hardest","5 - Unknown")))))</f>
        <v/>
      </c>
      <c r="G343" s="10" t="n"/>
      <c r="H343" s="10" t="n"/>
      <c r="I343" s="10" t="n"/>
      <c r="J343" s="10" t="n"/>
      <c r="K343" s="10" t="n"/>
      <c r="L343" s="10" t="n"/>
      <c r="M343" s="12" t="n"/>
      <c r="N343" s="10" t="n"/>
      <c r="O343" s="10" t="n"/>
    </row>
    <row r="344">
      <c r="A344" s="10" t="n"/>
      <c r="B344" s="10" t="n"/>
      <c r="C344" s="10" t="n"/>
      <c r="D344" s="10" t="n"/>
      <c r="E344" s="10" t="n"/>
      <c r="F344" s="11">
        <f>IF(E344="","",IF(E344="Authorize.net","1 - Slam dunk",IF(OR(E344="E-commerce",E344="B2B",E344="Vendor"),"2 - Strong",IF(E344="Retail","3 - Good",IF(E344="Restaurant/Bar/Lounge","4 - Hardest","5 - Unknown")))))</f>
        <v/>
      </c>
      <c r="G344" s="10" t="n"/>
      <c r="H344" s="10" t="n"/>
      <c r="I344" s="10" t="n"/>
      <c r="J344" s="10" t="n"/>
      <c r="K344" s="10" t="n"/>
      <c r="L344" s="10" t="n"/>
      <c r="M344" s="12" t="n"/>
      <c r="N344" s="10" t="n"/>
      <c r="O344" s="10" t="n"/>
    </row>
    <row r="345">
      <c r="A345" s="10" t="n"/>
      <c r="B345" s="10" t="n"/>
      <c r="C345" s="10" t="n"/>
      <c r="D345" s="10" t="n"/>
      <c r="E345" s="10" t="n"/>
      <c r="F345" s="11">
        <f>IF(E345="","",IF(E345="Authorize.net","1 - Slam dunk",IF(OR(E345="E-commerce",E345="B2B",E345="Vendor"),"2 - Strong",IF(E345="Retail","3 - Good",IF(E345="Restaurant/Bar/Lounge","4 - Hardest","5 - Unknown")))))</f>
        <v/>
      </c>
      <c r="G345" s="10" t="n"/>
      <c r="H345" s="10" t="n"/>
      <c r="I345" s="10" t="n"/>
      <c r="J345" s="10" t="n"/>
      <c r="K345" s="10" t="n"/>
      <c r="L345" s="10" t="n"/>
      <c r="M345" s="12" t="n"/>
      <c r="N345" s="10" t="n"/>
      <c r="O345" s="10" t="n"/>
    </row>
    <row r="346">
      <c r="A346" s="10" t="n"/>
      <c r="B346" s="10" t="n"/>
      <c r="C346" s="10" t="n"/>
      <c r="D346" s="10" t="n"/>
      <c r="E346" s="10" t="n"/>
      <c r="F346" s="11">
        <f>IF(E346="","",IF(E346="Authorize.net","1 - Slam dunk",IF(OR(E346="E-commerce",E346="B2B",E346="Vendor"),"2 - Strong",IF(E346="Retail","3 - Good",IF(E346="Restaurant/Bar/Lounge","4 - Hardest","5 - Unknown")))))</f>
        <v/>
      </c>
      <c r="G346" s="10" t="n"/>
      <c r="H346" s="10" t="n"/>
      <c r="I346" s="10" t="n"/>
      <c r="J346" s="10" t="n"/>
      <c r="K346" s="10" t="n"/>
      <c r="L346" s="10" t="n"/>
      <c r="M346" s="12" t="n"/>
      <c r="N346" s="10" t="n"/>
      <c r="O346" s="10" t="n"/>
    </row>
    <row r="347">
      <c r="A347" s="10" t="n"/>
      <c r="B347" s="10" t="n"/>
      <c r="C347" s="10" t="n"/>
      <c r="D347" s="10" t="n"/>
      <c r="E347" s="10" t="n"/>
      <c r="F347" s="11">
        <f>IF(E347="","",IF(E347="Authorize.net","1 - Slam dunk",IF(OR(E347="E-commerce",E347="B2B",E347="Vendor"),"2 - Strong",IF(E347="Retail","3 - Good",IF(E347="Restaurant/Bar/Lounge","4 - Hardest","5 - Unknown")))))</f>
        <v/>
      </c>
      <c r="G347" s="10" t="n"/>
      <c r="H347" s="10" t="n"/>
      <c r="I347" s="10" t="n"/>
      <c r="J347" s="10" t="n"/>
      <c r="K347" s="10" t="n"/>
      <c r="L347" s="10" t="n"/>
      <c r="M347" s="12" t="n"/>
      <c r="N347" s="10" t="n"/>
      <c r="O347" s="10" t="n"/>
    </row>
    <row r="348">
      <c r="A348" s="10" t="n"/>
      <c r="B348" s="10" t="n"/>
      <c r="C348" s="10" t="n"/>
      <c r="D348" s="10" t="n"/>
      <c r="E348" s="10" t="n"/>
      <c r="F348" s="11">
        <f>IF(E348="","",IF(E348="Authorize.net","1 - Slam dunk",IF(OR(E348="E-commerce",E348="B2B",E348="Vendor"),"2 - Strong",IF(E348="Retail","3 - Good",IF(E348="Restaurant/Bar/Lounge","4 - Hardest","5 - Unknown")))))</f>
        <v/>
      </c>
      <c r="G348" s="10" t="n"/>
      <c r="H348" s="10" t="n"/>
      <c r="I348" s="10" t="n"/>
      <c r="J348" s="10" t="n"/>
      <c r="K348" s="10" t="n"/>
      <c r="L348" s="10" t="n"/>
      <c r="M348" s="12" t="n"/>
      <c r="N348" s="10" t="n"/>
      <c r="O348" s="10" t="n"/>
    </row>
    <row r="349">
      <c r="A349" s="10" t="n"/>
      <c r="B349" s="10" t="n"/>
      <c r="C349" s="10" t="n"/>
      <c r="D349" s="10" t="n"/>
      <c r="E349" s="10" t="n"/>
      <c r="F349" s="11">
        <f>IF(E349="","",IF(E349="Authorize.net","1 - Slam dunk",IF(OR(E349="E-commerce",E349="B2B",E349="Vendor"),"2 - Strong",IF(E349="Retail","3 - Good",IF(E349="Restaurant/Bar/Lounge","4 - Hardest","5 - Unknown")))))</f>
        <v/>
      </c>
      <c r="G349" s="10" t="n"/>
      <c r="H349" s="10" t="n"/>
      <c r="I349" s="10" t="n"/>
      <c r="J349" s="10" t="n"/>
      <c r="K349" s="10" t="n"/>
      <c r="L349" s="10" t="n"/>
      <c r="M349" s="12" t="n"/>
      <c r="N349" s="10" t="n"/>
      <c r="O349" s="10" t="n"/>
    </row>
    <row r="350">
      <c r="A350" s="10" t="n"/>
      <c r="B350" s="10" t="n"/>
      <c r="C350" s="10" t="n"/>
      <c r="D350" s="10" t="n"/>
      <c r="E350" s="10" t="n"/>
      <c r="F350" s="11">
        <f>IF(E350="","",IF(E350="Authorize.net","1 - Slam dunk",IF(OR(E350="E-commerce",E350="B2B",E350="Vendor"),"2 - Strong",IF(E350="Retail","3 - Good",IF(E350="Restaurant/Bar/Lounge","4 - Hardest","5 - Unknown")))))</f>
        <v/>
      </c>
      <c r="G350" s="10" t="n"/>
      <c r="H350" s="10" t="n"/>
      <c r="I350" s="10" t="n"/>
      <c r="J350" s="10" t="n"/>
      <c r="K350" s="10" t="n"/>
      <c r="L350" s="10" t="n"/>
      <c r="M350" s="12" t="n"/>
      <c r="N350" s="10" t="n"/>
      <c r="O350" s="10" t="n"/>
    </row>
    <row r="351">
      <c r="A351" s="10" t="n"/>
      <c r="B351" s="10" t="n"/>
      <c r="C351" s="10" t="n"/>
      <c r="D351" s="10" t="n"/>
      <c r="E351" s="10" t="n"/>
      <c r="F351" s="11">
        <f>IF(E351="","",IF(E351="Authorize.net","1 - Slam dunk",IF(OR(E351="E-commerce",E351="B2B",E351="Vendor"),"2 - Strong",IF(E351="Retail","3 - Good",IF(E351="Restaurant/Bar/Lounge","4 - Hardest","5 - Unknown")))))</f>
        <v/>
      </c>
      <c r="G351" s="10" t="n"/>
      <c r="H351" s="10" t="n"/>
      <c r="I351" s="10" t="n"/>
      <c r="J351" s="10" t="n"/>
      <c r="K351" s="10" t="n"/>
      <c r="L351" s="10" t="n"/>
      <c r="M351" s="12" t="n"/>
      <c r="N351" s="10" t="n"/>
      <c r="O351" s="10" t="n"/>
    </row>
    <row r="352">
      <c r="A352" s="10" t="n"/>
      <c r="B352" s="10" t="n"/>
      <c r="C352" s="10" t="n"/>
      <c r="D352" s="10" t="n"/>
      <c r="E352" s="10" t="n"/>
      <c r="F352" s="11">
        <f>IF(E352="","",IF(E352="Authorize.net","1 - Slam dunk",IF(OR(E352="E-commerce",E352="B2B",E352="Vendor"),"2 - Strong",IF(E352="Retail","3 - Good",IF(E352="Restaurant/Bar/Lounge","4 - Hardest","5 - Unknown")))))</f>
        <v/>
      </c>
      <c r="G352" s="10" t="n"/>
      <c r="H352" s="10" t="n"/>
      <c r="I352" s="10" t="n"/>
      <c r="J352" s="10" t="n"/>
      <c r="K352" s="10" t="n"/>
      <c r="L352" s="10" t="n"/>
      <c r="M352" s="12" t="n"/>
      <c r="N352" s="10" t="n"/>
      <c r="O352" s="10" t="n"/>
    </row>
    <row r="353">
      <c r="A353" s="10" t="n"/>
      <c r="B353" s="10" t="n"/>
      <c r="C353" s="10" t="n"/>
      <c r="D353" s="10" t="n"/>
      <c r="E353" s="10" t="n"/>
      <c r="F353" s="11">
        <f>IF(E353="","",IF(E353="Authorize.net","1 - Slam dunk",IF(OR(E353="E-commerce",E353="B2B",E353="Vendor"),"2 - Strong",IF(E353="Retail","3 - Good",IF(E353="Restaurant/Bar/Lounge","4 - Hardest","5 - Unknown")))))</f>
        <v/>
      </c>
      <c r="G353" s="10" t="n"/>
      <c r="H353" s="10" t="n"/>
      <c r="I353" s="10" t="n"/>
      <c r="J353" s="10" t="n"/>
      <c r="K353" s="10" t="n"/>
      <c r="L353" s="10" t="n"/>
      <c r="M353" s="12" t="n"/>
      <c r="N353" s="10" t="n"/>
      <c r="O353" s="10" t="n"/>
    </row>
    <row r="354">
      <c r="A354" s="10" t="n"/>
      <c r="B354" s="10" t="n"/>
      <c r="C354" s="10" t="n"/>
      <c r="D354" s="10" t="n"/>
      <c r="E354" s="10" t="n"/>
      <c r="F354" s="11">
        <f>IF(E354="","",IF(E354="Authorize.net","1 - Slam dunk",IF(OR(E354="E-commerce",E354="B2B",E354="Vendor"),"2 - Strong",IF(E354="Retail","3 - Good",IF(E354="Restaurant/Bar/Lounge","4 - Hardest","5 - Unknown")))))</f>
        <v/>
      </c>
      <c r="G354" s="10" t="n"/>
      <c r="H354" s="10" t="n"/>
      <c r="I354" s="10" t="n"/>
      <c r="J354" s="10" t="n"/>
      <c r="K354" s="10" t="n"/>
      <c r="L354" s="10" t="n"/>
      <c r="M354" s="12" t="n"/>
      <c r="N354" s="10" t="n"/>
      <c r="O354" s="10" t="n"/>
    </row>
    <row r="355">
      <c r="A355" s="10" t="n"/>
      <c r="B355" s="10" t="n"/>
      <c r="C355" s="10" t="n"/>
      <c r="D355" s="10" t="n"/>
      <c r="E355" s="10" t="n"/>
      <c r="F355" s="11">
        <f>IF(E355="","",IF(E355="Authorize.net","1 - Slam dunk",IF(OR(E355="E-commerce",E355="B2B",E355="Vendor"),"2 - Strong",IF(E355="Retail","3 - Good",IF(E355="Restaurant/Bar/Lounge","4 - Hardest","5 - Unknown")))))</f>
        <v/>
      </c>
      <c r="G355" s="10" t="n"/>
      <c r="H355" s="10" t="n"/>
      <c r="I355" s="10" t="n"/>
      <c r="J355" s="10" t="n"/>
      <c r="K355" s="10" t="n"/>
      <c r="L355" s="10" t="n"/>
      <c r="M355" s="12" t="n"/>
      <c r="N355" s="10" t="n"/>
      <c r="O355" s="10" t="n"/>
    </row>
    <row r="356">
      <c r="A356" s="10" t="n"/>
      <c r="B356" s="10" t="n"/>
      <c r="C356" s="10" t="n"/>
      <c r="D356" s="10" t="n"/>
      <c r="E356" s="10" t="n"/>
      <c r="F356" s="11">
        <f>IF(E356="","",IF(E356="Authorize.net","1 - Slam dunk",IF(OR(E356="E-commerce",E356="B2B",E356="Vendor"),"2 - Strong",IF(E356="Retail","3 - Good",IF(E356="Restaurant/Bar/Lounge","4 - Hardest","5 - Unknown")))))</f>
        <v/>
      </c>
      <c r="G356" s="10" t="n"/>
      <c r="H356" s="10" t="n"/>
      <c r="I356" s="10" t="n"/>
      <c r="J356" s="10" t="n"/>
      <c r="K356" s="10" t="n"/>
      <c r="L356" s="10" t="n"/>
      <c r="M356" s="12" t="n"/>
      <c r="N356" s="10" t="n"/>
      <c r="O356" s="10" t="n"/>
    </row>
    <row r="357">
      <c r="A357" s="10" t="n"/>
      <c r="B357" s="10" t="n"/>
      <c r="C357" s="10" t="n"/>
      <c r="D357" s="10" t="n"/>
      <c r="E357" s="10" t="n"/>
      <c r="F357" s="11">
        <f>IF(E357="","",IF(E357="Authorize.net","1 - Slam dunk",IF(OR(E357="E-commerce",E357="B2B",E357="Vendor"),"2 - Strong",IF(E357="Retail","3 - Good",IF(E357="Restaurant/Bar/Lounge","4 - Hardest","5 - Unknown")))))</f>
        <v/>
      </c>
      <c r="G357" s="10" t="n"/>
      <c r="H357" s="10" t="n"/>
      <c r="I357" s="10" t="n"/>
      <c r="J357" s="10" t="n"/>
      <c r="K357" s="10" t="n"/>
      <c r="L357" s="10" t="n"/>
      <c r="M357" s="12" t="n"/>
      <c r="N357" s="10" t="n"/>
      <c r="O357" s="10" t="n"/>
    </row>
    <row r="358">
      <c r="A358" s="10" t="n"/>
      <c r="B358" s="10" t="n"/>
      <c r="C358" s="10" t="n"/>
      <c r="D358" s="10" t="n"/>
      <c r="E358" s="10" t="n"/>
      <c r="F358" s="11">
        <f>IF(E358="","",IF(E358="Authorize.net","1 - Slam dunk",IF(OR(E358="E-commerce",E358="B2B",E358="Vendor"),"2 - Strong",IF(E358="Retail","3 - Good",IF(E358="Restaurant/Bar/Lounge","4 - Hardest","5 - Unknown")))))</f>
        <v/>
      </c>
      <c r="G358" s="10" t="n"/>
      <c r="H358" s="10" t="n"/>
      <c r="I358" s="10" t="n"/>
      <c r="J358" s="10" t="n"/>
      <c r="K358" s="10" t="n"/>
      <c r="L358" s="10" t="n"/>
      <c r="M358" s="12" t="n"/>
      <c r="N358" s="10" t="n"/>
      <c r="O358" s="10" t="n"/>
    </row>
    <row r="359">
      <c r="A359" s="10" t="n"/>
      <c r="B359" s="10" t="n"/>
      <c r="C359" s="10" t="n"/>
      <c r="D359" s="10" t="n"/>
      <c r="E359" s="10" t="n"/>
      <c r="F359" s="11">
        <f>IF(E359="","",IF(E359="Authorize.net","1 - Slam dunk",IF(OR(E359="E-commerce",E359="B2B",E359="Vendor"),"2 - Strong",IF(E359="Retail","3 - Good",IF(E359="Restaurant/Bar/Lounge","4 - Hardest","5 - Unknown")))))</f>
        <v/>
      </c>
      <c r="G359" s="10" t="n"/>
      <c r="H359" s="10" t="n"/>
      <c r="I359" s="10" t="n"/>
      <c r="J359" s="10" t="n"/>
      <c r="K359" s="10" t="n"/>
      <c r="L359" s="10" t="n"/>
      <c r="M359" s="12" t="n"/>
      <c r="N359" s="10" t="n"/>
      <c r="O359" s="10" t="n"/>
    </row>
    <row r="360">
      <c r="A360" s="10" t="n"/>
      <c r="B360" s="10" t="n"/>
      <c r="C360" s="10" t="n"/>
      <c r="D360" s="10" t="n"/>
      <c r="E360" s="10" t="n"/>
      <c r="F360" s="11">
        <f>IF(E360="","",IF(E360="Authorize.net","1 - Slam dunk",IF(OR(E360="E-commerce",E360="B2B",E360="Vendor"),"2 - Strong",IF(E360="Retail","3 - Good",IF(E360="Restaurant/Bar/Lounge","4 - Hardest","5 - Unknown")))))</f>
        <v/>
      </c>
      <c r="G360" s="10" t="n"/>
      <c r="H360" s="10" t="n"/>
      <c r="I360" s="10" t="n"/>
      <c r="J360" s="10" t="n"/>
      <c r="K360" s="10" t="n"/>
      <c r="L360" s="10" t="n"/>
      <c r="M360" s="12" t="n"/>
      <c r="N360" s="10" t="n"/>
      <c r="O360" s="10" t="n"/>
    </row>
    <row r="361">
      <c r="A361" s="10" t="n"/>
      <c r="B361" s="10" t="n"/>
      <c r="C361" s="10" t="n"/>
      <c r="D361" s="10" t="n"/>
      <c r="E361" s="10" t="n"/>
      <c r="F361" s="11">
        <f>IF(E361="","",IF(E361="Authorize.net","1 - Slam dunk",IF(OR(E361="E-commerce",E361="B2B",E361="Vendor"),"2 - Strong",IF(E361="Retail","3 - Good",IF(E361="Restaurant/Bar/Lounge","4 - Hardest","5 - Unknown")))))</f>
        <v/>
      </c>
      <c r="G361" s="10" t="n"/>
      <c r="H361" s="10" t="n"/>
      <c r="I361" s="10" t="n"/>
      <c r="J361" s="10" t="n"/>
      <c r="K361" s="10" t="n"/>
      <c r="L361" s="10" t="n"/>
      <c r="M361" s="12" t="n"/>
      <c r="N361" s="10" t="n"/>
      <c r="O361" s="10" t="n"/>
    </row>
    <row r="362">
      <c r="A362" s="10" t="n"/>
      <c r="B362" s="10" t="n"/>
      <c r="C362" s="10" t="n"/>
      <c r="D362" s="10" t="n"/>
      <c r="E362" s="10" t="n"/>
      <c r="F362" s="11">
        <f>IF(E362="","",IF(E362="Authorize.net","1 - Slam dunk",IF(OR(E362="E-commerce",E362="B2B",E362="Vendor"),"2 - Strong",IF(E362="Retail","3 - Good",IF(E362="Restaurant/Bar/Lounge","4 - Hardest","5 - Unknown")))))</f>
        <v/>
      </c>
      <c r="G362" s="10" t="n"/>
      <c r="H362" s="10" t="n"/>
      <c r="I362" s="10" t="n"/>
      <c r="J362" s="10" t="n"/>
      <c r="K362" s="10" t="n"/>
      <c r="L362" s="10" t="n"/>
      <c r="M362" s="12" t="n"/>
      <c r="N362" s="10" t="n"/>
      <c r="O362" s="10" t="n"/>
    </row>
    <row r="363">
      <c r="A363" s="10" t="n"/>
      <c r="B363" s="10" t="n"/>
      <c r="C363" s="10" t="n"/>
      <c r="D363" s="10" t="n"/>
      <c r="E363" s="10" t="n"/>
      <c r="F363" s="11">
        <f>IF(E363="","",IF(E363="Authorize.net","1 - Slam dunk",IF(OR(E363="E-commerce",E363="B2B",E363="Vendor"),"2 - Strong",IF(E363="Retail","3 - Good",IF(E363="Restaurant/Bar/Lounge","4 - Hardest","5 - Unknown")))))</f>
        <v/>
      </c>
      <c r="G363" s="10" t="n"/>
      <c r="H363" s="10" t="n"/>
      <c r="I363" s="10" t="n"/>
      <c r="J363" s="10" t="n"/>
      <c r="K363" s="10" t="n"/>
      <c r="L363" s="10" t="n"/>
      <c r="M363" s="12" t="n"/>
      <c r="N363" s="10" t="n"/>
      <c r="O363" s="10" t="n"/>
    </row>
    <row r="364">
      <c r="A364" s="10" t="n"/>
      <c r="B364" s="10" t="n"/>
      <c r="C364" s="10" t="n"/>
      <c r="D364" s="10" t="n"/>
      <c r="E364" s="10" t="n"/>
      <c r="F364" s="11">
        <f>IF(E364="","",IF(E364="Authorize.net","1 - Slam dunk",IF(OR(E364="E-commerce",E364="B2B",E364="Vendor"),"2 - Strong",IF(E364="Retail","3 - Good",IF(E364="Restaurant/Bar/Lounge","4 - Hardest","5 - Unknown")))))</f>
        <v/>
      </c>
      <c r="G364" s="10" t="n"/>
      <c r="H364" s="10" t="n"/>
      <c r="I364" s="10" t="n"/>
      <c r="J364" s="10" t="n"/>
      <c r="K364" s="10" t="n"/>
      <c r="L364" s="10" t="n"/>
      <c r="M364" s="12" t="n"/>
      <c r="N364" s="10" t="n"/>
      <c r="O364" s="10" t="n"/>
    </row>
    <row r="365">
      <c r="A365" s="10" t="n"/>
      <c r="B365" s="10" t="n"/>
      <c r="C365" s="10" t="n"/>
      <c r="D365" s="10" t="n"/>
      <c r="E365" s="10" t="n"/>
      <c r="F365" s="11">
        <f>IF(E365="","",IF(E365="Authorize.net","1 - Slam dunk",IF(OR(E365="E-commerce",E365="B2B",E365="Vendor"),"2 - Strong",IF(E365="Retail","3 - Good",IF(E365="Restaurant/Bar/Lounge","4 - Hardest","5 - Unknown")))))</f>
        <v/>
      </c>
      <c r="G365" s="10" t="n"/>
      <c r="H365" s="10" t="n"/>
      <c r="I365" s="10" t="n"/>
      <c r="J365" s="10" t="n"/>
      <c r="K365" s="10" t="n"/>
      <c r="L365" s="10" t="n"/>
      <c r="M365" s="12" t="n"/>
      <c r="N365" s="10" t="n"/>
      <c r="O365" s="10" t="n"/>
    </row>
    <row r="366">
      <c r="A366" s="10" t="n"/>
      <c r="B366" s="10" t="n"/>
      <c r="C366" s="10" t="n"/>
      <c r="D366" s="10" t="n"/>
      <c r="E366" s="10" t="n"/>
      <c r="F366" s="11">
        <f>IF(E366="","",IF(E366="Authorize.net","1 - Slam dunk",IF(OR(E366="E-commerce",E366="B2B",E366="Vendor"),"2 - Strong",IF(E366="Retail","3 - Good",IF(E366="Restaurant/Bar/Lounge","4 - Hardest","5 - Unknown")))))</f>
        <v/>
      </c>
      <c r="G366" s="10" t="n"/>
      <c r="H366" s="10" t="n"/>
      <c r="I366" s="10" t="n"/>
      <c r="J366" s="10" t="n"/>
      <c r="K366" s="10" t="n"/>
      <c r="L366" s="10" t="n"/>
      <c r="M366" s="12" t="n"/>
      <c r="N366" s="10" t="n"/>
      <c r="O366" s="10" t="n"/>
    </row>
    <row r="367">
      <c r="A367" s="10" t="n"/>
      <c r="B367" s="10" t="n"/>
      <c r="C367" s="10" t="n"/>
      <c r="D367" s="10" t="n"/>
      <c r="E367" s="10" t="n"/>
      <c r="F367" s="11">
        <f>IF(E367="","",IF(E367="Authorize.net","1 - Slam dunk",IF(OR(E367="E-commerce",E367="B2B",E367="Vendor"),"2 - Strong",IF(E367="Retail","3 - Good",IF(E367="Restaurant/Bar/Lounge","4 - Hardest","5 - Unknown")))))</f>
        <v/>
      </c>
      <c r="G367" s="10" t="n"/>
      <c r="H367" s="10" t="n"/>
      <c r="I367" s="10" t="n"/>
      <c r="J367" s="10" t="n"/>
      <c r="K367" s="10" t="n"/>
      <c r="L367" s="10" t="n"/>
      <c r="M367" s="12" t="n"/>
      <c r="N367" s="10" t="n"/>
      <c r="O367" s="10" t="n"/>
    </row>
    <row r="368">
      <c r="A368" s="10" t="n"/>
      <c r="B368" s="10" t="n"/>
      <c r="C368" s="10" t="n"/>
      <c r="D368" s="10" t="n"/>
      <c r="E368" s="10" t="n"/>
      <c r="F368" s="11">
        <f>IF(E368="","",IF(E368="Authorize.net","1 - Slam dunk",IF(OR(E368="E-commerce",E368="B2B",E368="Vendor"),"2 - Strong",IF(E368="Retail","3 - Good",IF(E368="Restaurant/Bar/Lounge","4 - Hardest","5 - Unknown")))))</f>
        <v/>
      </c>
      <c r="G368" s="10" t="n"/>
      <c r="H368" s="10" t="n"/>
      <c r="I368" s="10" t="n"/>
      <c r="J368" s="10" t="n"/>
      <c r="K368" s="10" t="n"/>
      <c r="L368" s="10" t="n"/>
      <c r="M368" s="12" t="n"/>
      <c r="N368" s="10" t="n"/>
      <c r="O368" s="10" t="n"/>
    </row>
    <row r="369">
      <c r="A369" s="10" t="n"/>
      <c r="B369" s="10" t="n"/>
      <c r="C369" s="10" t="n"/>
      <c r="D369" s="10" t="n"/>
      <c r="E369" s="10" t="n"/>
      <c r="F369" s="11">
        <f>IF(E369="","",IF(E369="Authorize.net","1 - Slam dunk",IF(OR(E369="E-commerce",E369="B2B",E369="Vendor"),"2 - Strong",IF(E369="Retail","3 - Good",IF(E369="Restaurant/Bar/Lounge","4 - Hardest","5 - Unknown")))))</f>
        <v/>
      </c>
      <c r="G369" s="10" t="n"/>
      <c r="H369" s="10" t="n"/>
      <c r="I369" s="10" t="n"/>
      <c r="J369" s="10" t="n"/>
      <c r="K369" s="10" t="n"/>
      <c r="L369" s="10" t="n"/>
      <c r="M369" s="12" t="n"/>
      <c r="N369" s="10" t="n"/>
      <c r="O369" s="10" t="n"/>
    </row>
    <row r="370">
      <c r="A370" s="10" t="n"/>
      <c r="B370" s="10" t="n"/>
      <c r="C370" s="10" t="n"/>
      <c r="D370" s="10" t="n"/>
      <c r="E370" s="10" t="n"/>
      <c r="F370" s="11">
        <f>IF(E370="","",IF(E370="Authorize.net","1 - Slam dunk",IF(OR(E370="E-commerce",E370="B2B",E370="Vendor"),"2 - Strong",IF(E370="Retail","3 - Good",IF(E370="Restaurant/Bar/Lounge","4 - Hardest","5 - Unknown")))))</f>
        <v/>
      </c>
      <c r="G370" s="10" t="n"/>
      <c r="H370" s="10" t="n"/>
      <c r="I370" s="10" t="n"/>
      <c r="J370" s="10" t="n"/>
      <c r="K370" s="10" t="n"/>
      <c r="L370" s="10" t="n"/>
      <c r="M370" s="12" t="n"/>
      <c r="N370" s="10" t="n"/>
      <c r="O370" s="10" t="n"/>
    </row>
    <row r="371">
      <c r="A371" s="10" t="n"/>
      <c r="B371" s="10" t="n"/>
      <c r="C371" s="10" t="n"/>
      <c r="D371" s="10" t="n"/>
      <c r="E371" s="10" t="n"/>
      <c r="F371" s="11">
        <f>IF(E371="","",IF(E371="Authorize.net","1 - Slam dunk",IF(OR(E371="E-commerce",E371="B2B",E371="Vendor"),"2 - Strong",IF(E371="Retail","3 - Good",IF(E371="Restaurant/Bar/Lounge","4 - Hardest","5 - Unknown")))))</f>
        <v/>
      </c>
      <c r="G371" s="10" t="n"/>
      <c r="H371" s="10" t="n"/>
      <c r="I371" s="10" t="n"/>
      <c r="J371" s="10" t="n"/>
      <c r="K371" s="10" t="n"/>
      <c r="L371" s="10" t="n"/>
      <c r="M371" s="12" t="n"/>
      <c r="N371" s="10" t="n"/>
      <c r="O371" s="10" t="n"/>
    </row>
    <row r="372">
      <c r="A372" s="10" t="n"/>
      <c r="B372" s="10" t="n"/>
      <c r="C372" s="10" t="n"/>
      <c r="D372" s="10" t="n"/>
      <c r="E372" s="10" t="n"/>
      <c r="F372" s="11">
        <f>IF(E372="","",IF(E372="Authorize.net","1 - Slam dunk",IF(OR(E372="E-commerce",E372="B2B",E372="Vendor"),"2 - Strong",IF(E372="Retail","3 - Good",IF(E372="Restaurant/Bar/Lounge","4 - Hardest","5 - Unknown")))))</f>
        <v/>
      </c>
      <c r="G372" s="10" t="n"/>
      <c r="H372" s="10" t="n"/>
      <c r="I372" s="10" t="n"/>
      <c r="J372" s="10" t="n"/>
      <c r="K372" s="10" t="n"/>
      <c r="L372" s="10" t="n"/>
      <c r="M372" s="12" t="n"/>
      <c r="N372" s="10" t="n"/>
      <c r="O372" s="10" t="n"/>
    </row>
    <row r="373">
      <c r="A373" s="10" t="n"/>
      <c r="B373" s="10" t="n"/>
      <c r="C373" s="10" t="n"/>
      <c r="D373" s="10" t="n"/>
      <c r="E373" s="10" t="n"/>
      <c r="F373" s="11">
        <f>IF(E373="","",IF(E373="Authorize.net","1 - Slam dunk",IF(OR(E373="E-commerce",E373="B2B",E373="Vendor"),"2 - Strong",IF(E373="Retail","3 - Good",IF(E373="Restaurant/Bar/Lounge","4 - Hardest","5 - Unknown")))))</f>
        <v/>
      </c>
      <c r="G373" s="10" t="n"/>
      <c r="H373" s="10" t="n"/>
      <c r="I373" s="10" t="n"/>
      <c r="J373" s="10" t="n"/>
      <c r="K373" s="10" t="n"/>
      <c r="L373" s="10" t="n"/>
      <c r="M373" s="12" t="n"/>
      <c r="N373" s="10" t="n"/>
      <c r="O373" s="10" t="n"/>
    </row>
    <row r="374">
      <c r="A374" s="10" t="n"/>
      <c r="B374" s="10" t="n"/>
      <c r="C374" s="10" t="n"/>
      <c r="D374" s="10" t="n"/>
      <c r="E374" s="10" t="n"/>
      <c r="F374" s="11">
        <f>IF(E374="","",IF(E374="Authorize.net","1 - Slam dunk",IF(OR(E374="E-commerce",E374="B2B",E374="Vendor"),"2 - Strong",IF(E374="Retail","3 - Good",IF(E374="Restaurant/Bar/Lounge","4 - Hardest","5 - Unknown")))))</f>
        <v/>
      </c>
      <c r="G374" s="10" t="n"/>
      <c r="H374" s="10" t="n"/>
      <c r="I374" s="10" t="n"/>
      <c r="J374" s="10" t="n"/>
      <c r="K374" s="10" t="n"/>
      <c r="L374" s="10" t="n"/>
      <c r="M374" s="12" t="n"/>
      <c r="N374" s="10" t="n"/>
      <c r="O374" s="10" t="n"/>
    </row>
    <row r="375">
      <c r="A375" s="10" t="n"/>
      <c r="B375" s="10" t="n"/>
      <c r="C375" s="10" t="n"/>
      <c r="D375" s="10" t="n"/>
      <c r="E375" s="10" t="n"/>
      <c r="F375" s="11">
        <f>IF(E375="","",IF(E375="Authorize.net","1 - Slam dunk",IF(OR(E375="E-commerce",E375="B2B",E375="Vendor"),"2 - Strong",IF(E375="Retail","3 - Good",IF(E375="Restaurant/Bar/Lounge","4 - Hardest","5 - Unknown")))))</f>
        <v/>
      </c>
      <c r="G375" s="10" t="n"/>
      <c r="H375" s="10" t="n"/>
      <c r="I375" s="10" t="n"/>
      <c r="J375" s="10" t="n"/>
      <c r="K375" s="10" t="n"/>
      <c r="L375" s="10" t="n"/>
      <c r="M375" s="12" t="n"/>
      <c r="N375" s="10" t="n"/>
      <c r="O375" s="10" t="n"/>
    </row>
    <row r="376">
      <c r="A376" s="10" t="n"/>
      <c r="B376" s="10" t="n"/>
      <c r="C376" s="10" t="n"/>
      <c r="D376" s="10" t="n"/>
      <c r="E376" s="10" t="n"/>
      <c r="F376" s="11">
        <f>IF(E376="","",IF(E376="Authorize.net","1 - Slam dunk",IF(OR(E376="E-commerce",E376="B2B",E376="Vendor"),"2 - Strong",IF(E376="Retail","3 - Good",IF(E376="Restaurant/Bar/Lounge","4 - Hardest","5 - Unknown")))))</f>
        <v/>
      </c>
      <c r="G376" s="10" t="n"/>
      <c r="H376" s="10" t="n"/>
      <c r="I376" s="10" t="n"/>
      <c r="J376" s="10" t="n"/>
      <c r="K376" s="10" t="n"/>
      <c r="L376" s="10" t="n"/>
      <c r="M376" s="12" t="n"/>
      <c r="N376" s="10" t="n"/>
      <c r="O376" s="10" t="n"/>
    </row>
    <row r="377">
      <c r="A377" s="10" t="n"/>
      <c r="B377" s="10" t="n"/>
      <c r="C377" s="10" t="n"/>
      <c r="D377" s="10" t="n"/>
      <c r="E377" s="10" t="n"/>
      <c r="F377" s="11">
        <f>IF(E377="","",IF(E377="Authorize.net","1 - Slam dunk",IF(OR(E377="E-commerce",E377="B2B",E377="Vendor"),"2 - Strong",IF(E377="Retail","3 - Good",IF(E377="Restaurant/Bar/Lounge","4 - Hardest","5 - Unknown")))))</f>
        <v/>
      </c>
      <c r="G377" s="10" t="n"/>
      <c r="H377" s="10" t="n"/>
      <c r="I377" s="10" t="n"/>
      <c r="J377" s="10" t="n"/>
      <c r="K377" s="10" t="n"/>
      <c r="L377" s="10" t="n"/>
      <c r="M377" s="12" t="n"/>
      <c r="N377" s="10" t="n"/>
      <c r="O377" s="10" t="n"/>
    </row>
    <row r="378">
      <c r="A378" s="10" t="n"/>
      <c r="B378" s="10" t="n"/>
      <c r="C378" s="10" t="n"/>
      <c r="D378" s="10" t="n"/>
      <c r="E378" s="10" t="n"/>
      <c r="F378" s="11">
        <f>IF(E378="","",IF(E378="Authorize.net","1 - Slam dunk",IF(OR(E378="E-commerce",E378="B2B",E378="Vendor"),"2 - Strong",IF(E378="Retail","3 - Good",IF(E378="Restaurant/Bar/Lounge","4 - Hardest","5 - Unknown")))))</f>
        <v/>
      </c>
      <c r="G378" s="10" t="n"/>
      <c r="H378" s="10" t="n"/>
      <c r="I378" s="10" t="n"/>
      <c r="J378" s="10" t="n"/>
      <c r="K378" s="10" t="n"/>
      <c r="L378" s="10" t="n"/>
      <c r="M378" s="12" t="n"/>
      <c r="N378" s="10" t="n"/>
      <c r="O378" s="10" t="n"/>
    </row>
    <row r="379">
      <c r="A379" s="10" t="n"/>
      <c r="B379" s="10" t="n"/>
      <c r="C379" s="10" t="n"/>
      <c r="D379" s="10" t="n"/>
      <c r="E379" s="10" t="n"/>
      <c r="F379" s="11">
        <f>IF(E379="","",IF(E379="Authorize.net","1 - Slam dunk",IF(OR(E379="E-commerce",E379="B2B",E379="Vendor"),"2 - Strong",IF(E379="Retail","3 - Good",IF(E379="Restaurant/Bar/Lounge","4 - Hardest","5 - Unknown")))))</f>
        <v/>
      </c>
      <c r="G379" s="10" t="n"/>
      <c r="H379" s="10" t="n"/>
      <c r="I379" s="10" t="n"/>
      <c r="J379" s="10" t="n"/>
      <c r="K379" s="10" t="n"/>
      <c r="L379" s="10" t="n"/>
      <c r="M379" s="12" t="n"/>
      <c r="N379" s="10" t="n"/>
      <c r="O379" s="10" t="n"/>
    </row>
    <row r="380">
      <c r="A380" s="10" t="n"/>
      <c r="B380" s="10" t="n"/>
      <c r="C380" s="10" t="n"/>
      <c r="D380" s="10" t="n"/>
      <c r="E380" s="10" t="n"/>
      <c r="F380" s="11">
        <f>IF(E380="","",IF(E380="Authorize.net","1 - Slam dunk",IF(OR(E380="E-commerce",E380="B2B",E380="Vendor"),"2 - Strong",IF(E380="Retail","3 - Good",IF(E380="Restaurant/Bar/Lounge","4 - Hardest","5 - Unknown")))))</f>
        <v/>
      </c>
      <c r="G380" s="10" t="n"/>
      <c r="H380" s="10" t="n"/>
      <c r="I380" s="10" t="n"/>
      <c r="J380" s="10" t="n"/>
      <c r="K380" s="10" t="n"/>
      <c r="L380" s="10" t="n"/>
      <c r="M380" s="12" t="n"/>
      <c r="N380" s="10" t="n"/>
      <c r="O380" s="10" t="n"/>
    </row>
    <row r="381">
      <c r="A381" s="10" t="n"/>
      <c r="B381" s="10" t="n"/>
      <c r="C381" s="10" t="n"/>
      <c r="D381" s="10" t="n"/>
      <c r="E381" s="10" t="n"/>
      <c r="F381" s="11">
        <f>IF(E381="","",IF(E381="Authorize.net","1 - Slam dunk",IF(OR(E381="E-commerce",E381="B2B",E381="Vendor"),"2 - Strong",IF(E381="Retail","3 - Good",IF(E381="Restaurant/Bar/Lounge","4 - Hardest","5 - Unknown")))))</f>
        <v/>
      </c>
      <c r="G381" s="10" t="n"/>
      <c r="H381" s="10" t="n"/>
      <c r="I381" s="10" t="n"/>
      <c r="J381" s="10" t="n"/>
      <c r="K381" s="10" t="n"/>
      <c r="L381" s="10" t="n"/>
      <c r="M381" s="12" t="n"/>
      <c r="N381" s="10" t="n"/>
      <c r="O381" s="10" t="n"/>
    </row>
    <row r="382">
      <c r="A382" s="10" t="n"/>
      <c r="B382" s="10" t="n"/>
      <c r="C382" s="10" t="n"/>
      <c r="D382" s="10" t="n"/>
      <c r="E382" s="10" t="n"/>
      <c r="F382" s="11">
        <f>IF(E382="","",IF(E382="Authorize.net","1 - Slam dunk",IF(OR(E382="E-commerce",E382="B2B",E382="Vendor"),"2 - Strong",IF(E382="Retail","3 - Good",IF(E382="Restaurant/Bar/Lounge","4 - Hardest","5 - Unknown")))))</f>
        <v/>
      </c>
      <c r="G382" s="10" t="n"/>
      <c r="H382" s="10" t="n"/>
      <c r="I382" s="10" t="n"/>
      <c r="J382" s="10" t="n"/>
      <c r="K382" s="10" t="n"/>
      <c r="L382" s="10" t="n"/>
      <c r="M382" s="12" t="n"/>
      <c r="N382" s="10" t="n"/>
      <c r="O382" s="10" t="n"/>
    </row>
    <row r="383">
      <c r="A383" s="10" t="n"/>
      <c r="B383" s="10" t="n"/>
      <c r="C383" s="10" t="n"/>
      <c r="D383" s="10" t="n"/>
      <c r="E383" s="10" t="n"/>
      <c r="F383" s="11">
        <f>IF(E383="","",IF(E383="Authorize.net","1 - Slam dunk",IF(OR(E383="E-commerce",E383="B2B",E383="Vendor"),"2 - Strong",IF(E383="Retail","3 - Good",IF(E383="Restaurant/Bar/Lounge","4 - Hardest","5 - Unknown")))))</f>
        <v/>
      </c>
      <c r="G383" s="10" t="n"/>
      <c r="H383" s="10" t="n"/>
      <c r="I383" s="10" t="n"/>
      <c r="J383" s="10" t="n"/>
      <c r="K383" s="10" t="n"/>
      <c r="L383" s="10" t="n"/>
      <c r="M383" s="12" t="n"/>
      <c r="N383" s="10" t="n"/>
      <c r="O383" s="10" t="n"/>
    </row>
    <row r="384">
      <c r="A384" s="10" t="n"/>
      <c r="B384" s="10" t="n"/>
      <c r="C384" s="10" t="n"/>
      <c r="D384" s="10" t="n"/>
      <c r="E384" s="10" t="n"/>
      <c r="F384" s="11">
        <f>IF(E384="","",IF(E384="Authorize.net","1 - Slam dunk",IF(OR(E384="E-commerce",E384="B2B",E384="Vendor"),"2 - Strong",IF(E384="Retail","3 - Good",IF(E384="Restaurant/Bar/Lounge","4 - Hardest","5 - Unknown")))))</f>
        <v/>
      </c>
      <c r="G384" s="10" t="n"/>
      <c r="H384" s="10" t="n"/>
      <c r="I384" s="10" t="n"/>
      <c r="J384" s="10" t="n"/>
      <c r="K384" s="10" t="n"/>
      <c r="L384" s="10" t="n"/>
      <c r="M384" s="12" t="n"/>
      <c r="N384" s="10" t="n"/>
      <c r="O384" s="10" t="n"/>
    </row>
    <row r="385">
      <c r="A385" s="10" t="n"/>
      <c r="B385" s="10" t="n"/>
      <c r="C385" s="10" t="n"/>
      <c r="D385" s="10" t="n"/>
      <c r="E385" s="10" t="n"/>
      <c r="F385" s="11">
        <f>IF(E385="","",IF(E385="Authorize.net","1 - Slam dunk",IF(OR(E385="E-commerce",E385="B2B",E385="Vendor"),"2 - Strong",IF(E385="Retail","3 - Good",IF(E385="Restaurant/Bar/Lounge","4 - Hardest","5 - Unknown")))))</f>
        <v/>
      </c>
      <c r="G385" s="10" t="n"/>
      <c r="H385" s="10" t="n"/>
      <c r="I385" s="10" t="n"/>
      <c r="J385" s="10" t="n"/>
      <c r="K385" s="10" t="n"/>
      <c r="L385" s="10" t="n"/>
      <c r="M385" s="12" t="n"/>
      <c r="N385" s="10" t="n"/>
      <c r="O385" s="10" t="n"/>
    </row>
    <row r="386">
      <c r="A386" s="10" t="n"/>
      <c r="B386" s="10" t="n"/>
      <c r="C386" s="10" t="n"/>
      <c r="D386" s="10" t="n"/>
      <c r="E386" s="10" t="n"/>
      <c r="F386" s="11">
        <f>IF(E386="","",IF(E386="Authorize.net","1 - Slam dunk",IF(OR(E386="E-commerce",E386="B2B",E386="Vendor"),"2 - Strong",IF(E386="Retail","3 - Good",IF(E386="Restaurant/Bar/Lounge","4 - Hardest","5 - Unknown")))))</f>
        <v/>
      </c>
      <c r="G386" s="10" t="n"/>
      <c r="H386" s="10" t="n"/>
      <c r="I386" s="10" t="n"/>
      <c r="J386" s="10" t="n"/>
      <c r="K386" s="10" t="n"/>
      <c r="L386" s="10" t="n"/>
      <c r="M386" s="12" t="n"/>
      <c r="N386" s="10" t="n"/>
      <c r="O386" s="10" t="n"/>
    </row>
    <row r="387">
      <c r="A387" s="10" t="n"/>
      <c r="B387" s="10" t="n"/>
      <c r="C387" s="10" t="n"/>
      <c r="D387" s="10" t="n"/>
      <c r="E387" s="10" t="n"/>
      <c r="F387" s="11">
        <f>IF(E387="","",IF(E387="Authorize.net","1 - Slam dunk",IF(OR(E387="E-commerce",E387="B2B",E387="Vendor"),"2 - Strong",IF(E387="Retail","3 - Good",IF(E387="Restaurant/Bar/Lounge","4 - Hardest","5 - Unknown")))))</f>
        <v/>
      </c>
      <c r="G387" s="10" t="n"/>
      <c r="H387" s="10" t="n"/>
      <c r="I387" s="10" t="n"/>
      <c r="J387" s="10" t="n"/>
      <c r="K387" s="10" t="n"/>
      <c r="L387" s="10" t="n"/>
      <c r="M387" s="12" t="n"/>
      <c r="N387" s="10" t="n"/>
      <c r="O387" s="10" t="n"/>
    </row>
    <row r="388">
      <c r="A388" s="10" t="n"/>
      <c r="B388" s="10" t="n"/>
      <c r="C388" s="10" t="n"/>
      <c r="D388" s="10" t="n"/>
      <c r="E388" s="10" t="n"/>
      <c r="F388" s="11">
        <f>IF(E388="","",IF(E388="Authorize.net","1 - Slam dunk",IF(OR(E388="E-commerce",E388="B2B",E388="Vendor"),"2 - Strong",IF(E388="Retail","3 - Good",IF(E388="Restaurant/Bar/Lounge","4 - Hardest","5 - Unknown")))))</f>
        <v/>
      </c>
      <c r="G388" s="10" t="n"/>
      <c r="H388" s="10" t="n"/>
      <c r="I388" s="10" t="n"/>
      <c r="J388" s="10" t="n"/>
      <c r="K388" s="10" t="n"/>
      <c r="L388" s="10" t="n"/>
      <c r="M388" s="12" t="n"/>
      <c r="N388" s="10" t="n"/>
      <c r="O388" s="10" t="n"/>
    </row>
    <row r="389">
      <c r="A389" s="10" t="n"/>
      <c r="B389" s="10" t="n"/>
      <c r="C389" s="10" t="n"/>
      <c r="D389" s="10" t="n"/>
      <c r="E389" s="10" t="n"/>
      <c r="F389" s="11">
        <f>IF(E389="","",IF(E389="Authorize.net","1 - Slam dunk",IF(OR(E389="E-commerce",E389="B2B",E389="Vendor"),"2 - Strong",IF(E389="Retail","3 - Good",IF(E389="Restaurant/Bar/Lounge","4 - Hardest","5 - Unknown")))))</f>
        <v/>
      </c>
      <c r="G389" s="10" t="n"/>
      <c r="H389" s="10" t="n"/>
      <c r="I389" s="10" t="n"/>
      <c r="J389" s="10" t="n"/>
      <c r="K389" s="10" t="n"/>
      <c r="L389" s="10" t="n"/>
      <c r="M389" s="12" t="n"/>
      <c r="N389" s="10" t="n"/>
      <c r="O389" s="10" t="n"/>
    </row>
    <row r="390">
      <c r="A390" s="10" t="n"/>
      <c r="B390" s="10" t="n"/>
      <c r="C390" s="10" t="n"/>
      <c r="D390" s="10" t="n"/>
      <c r="E390" s="10" t="n"/>
      <c r="F390" s="11">
        <f>IF(E390="","",IF(E390="Authorize.net","1 - Slam dunk",IF(OR(E390="E-commerce",E390="B2B",E390="Vendor"),"2 - Strong",IF(E390="Retail","3 - Good",IF(E390="Restaurant/Bar/Lounge","4 - Hardest","5 - Unknown")))))</f>
        <v/>
      </c>
      <c r="G390" s="10" t="n"/>
      <c r="H390" s="10" t="n"/>
      <c r="I390" s="10" t="n"/>
      <c r="J390" s="10" t="n"/>
      <c r="K390" s="10" t="n"/>
      <c r="L390" s="10" t="n"/>
      <c r="M390" s="12" t="n"/>
      <c r="N390" s="10" t="n"/>
      <c r="O390" s="10" t="n"/>
    </row>
    <row r="391">
      <c r="A391" s="10" t="n"/>
      <c r="B391" s="10" t="n"/>
      <c r="C391" s="10" t="n"/>
      <c r="D391" s="10" t="n"/>
      <c r="E391" s="10" t="n"/>
      <c r="F391" s="11">
        <f>IF(E391="","",IF(E391="Authorize.net","1 - Slam dunk",IF(OR(E391="E-commerce",E391="B2B",E391="Vendor"),"2 - Strong",IF(E391="Retail","3 - Good",IF(E391="Restaurant/Bar/Lounge","4 - Hardest","5 - Unknown")))))</f>
        <v/>
      </c>
      <c r="G391" s="10" t="n"/>
      <c r="H391" s="10" t="n"/>
      <c r="I391" s="10" t="n"/>
      <c r="J391" s="10" t="n"/>
      <c r="K391" s="10" t="n"/>
      <c r="L391" s="10" t="n"/>
      <c r="M391" s="12" t="n"/>
      <c r="N391" s="10" t="n"/>
      <c r="O391" s="10" t="n"/>
    </row>
    <row r="392">
      <c r="A392" s="10" t="n"/>
      <c r="B392" s="10" t="n"/>
      <c r="C392" s="10" t="n"/>
      <c r="D392" s="10" t="n"/>
      <c r="E392" s="10" t="n"/>
      <c r="F392" s="11">
        <f>IF(E392="","",IF(E392="Authorize.net","1 - Slam dunk",IF(OR(E392="E-commerce",E392="B2B",E392="Vendor"),"2 - Strong",IF(E392="Retail","3 - Good",IF(E392="Restaurant/Bar/Lounge","4 - Hardest","5 - Unknown")))))</f>
        <v/>
      </c>
      <c r="G392" s="10" t="n"/>
      <c r="H392" s="10" t="n"/>
      <c r="I392" s="10" t="n"/>
      <c r="J392" s="10" t="n"/>
      <c r="K392" s="10" t="n"/>
      <c r="L392" s="10" t="n"/>
      <c r="M392" s="12" t="n"/>
      <c r="N392" s="10" t="n"/>
      <c r="O392" s="10" t="n"/>
    </row>
    <row r="393">
      <c r="A393" s="10" t="n"/>
      <c r="B393" s="10" t="n"/>
      <c r="C393" s="10" t="n"/>
      <c r="D393" s="10" t="n"/>
      <c r="E393" s="10" t="n"/>
      <c r="F393" s="11">
        <f>IF(E393="","",IF(E393="Authorize.net","1 - Slam dunk",IF(OR(E393="E-commerce",E393="B2B",E393="Vendor"),"2 - Strong",IF(E393="Retail","3 - Good",IF(E393="Restaurant/Bar/Lounge","4 - Hardest","5 - Unknown")))))</f>
        <v/>
      </c>
      <c r="G393" s="10" t="n"/>
      <c r="H393" s="10" t="n"/>
      <c r="I393" s="10" t="n"/>
      <c r="J393" s="10" t="n"/>
      <c r="K393" s="10" t="n"/>
      <c r="L393" s="10" t="n"/>
      <c r="M393" s="12" t="n"/>
      <c r="N393" s="10" t="n"/>
      <c r="O393" s="10" t="n"/>
    </row>
    <row r="394">
      <c r="A394" s="10" t="n"/>
      <c r="B394" s="10" t="n"/>
      <c r="C394" s="10" t="n"/>
      <c r="D394" s="10" t="n"/>
      <c r="E394" s="10" t="n"/>
      <c r="F394" s="11">
        <f>IF(E394="","",IF(E394="Authorize.net","1 - Slam dunk",IF(OR(E394="E-commerce",E394="B2B",E394="Vendor"),"2 - Strong",IF(E394="Retail","3 - Good",IF(E394="Restaurant/Bar/Lounge","4 - Hardest","5 - Unknown")))))</f>
        <v/>
      </c>
      <c r="G394" s="10" t="n"/>
      <c r="H394" s="10" t="n"/>
      <c r="I394" s="10" t="n"/>
      <c r="J394" s="10" t="n"/>
      <c r="K394" s="10" t="n"/>
      <c r="L394" s="10" t="n"/>
      <c r="M394" s="12" t="n"/>
      <c r="N394" s="10" t="n"/>
      <c r="O394" s="10" t="n"/>
    </row>
    <row r="395">
      <c r="A395" s="10" t="n"/>
      <c r="B395" s="10" t="n"/>
      <c r="C395" s="10" t="n"/>
      <c r="D395" s="10" t="n"/>
      <c r="E395" s="10" t="n"/>
      <c r="F395" s="11">
        <f>IF(E395="","",IF(E395="Authorize.net","1 - Slam dunk",IF(OR(E395="E-commerce",E395="B2B",E395="Vendor"),"2 - Strong",IF(E395="Retail","3 - Good",IF(E395="Restaurant/Bar/Lounge","4 - Hardest","5 - Unknown")))))</f>
        <v/>
      </c>
      <c r="G395" s="10" t="n"/>
      <c r="H395" s="10" t="n"/>
      <c r="I395" s="10" t="n"/>
      <c r="J395" s="10" t="n"/>
      <c r="K395" s="10" t="n"/>
      <c r="L395" s="10" t="n"/>
      <c r="M395" s="12" t="n"/>
      <c r="N395" s="10" t="n"/>
      <c r="O395" s="10" t="n"/>
    </row>
    <row r="396">
      <c r="A396" s="10" t="n"/>
      <c r="B396" s="10" t="n"/>
      <c r="C396" s="10" t="n"/>
      <c r="D396" s="10" t="n"/>
      <c r="E396" s="10" t="n"/>
      <c r="F396" s="11">
        <f>IF(E396="","",IF(E396="Authorize.net","1 - Slam dunk",IF(OR(E396="E-commerce",E396="B2B",E396="Vendor"),"2 - Strong",IF(E396="Retail","3 - Good",IF(E396="Restaurant/Bar/Lounge","4 - Hardest","5 - Unknown")))))</f>
        <v/>
      </c>
      <c r="G396" s="10" t="n"/>
      <c r="H396" s="10" t="n"/>
      <c r="I396" s="10" t="n"/>
      <c r="J396" s="10" t="n"/>
      <c r="K396" s="10" t="n"/>
      <c r="L396" s="10" t="n"/>
      <c r="M396" s="12" t="n"/>
      <c r="N396" s="10" t="n"/>
      <c r="O396" s="10" t="n"/>
    </row>
    <row r="397">
      <c r="A397" s="10" t="n"/>
      <c r="B397" s="10" t="n"/>
      <c r="C397" s="10" t="n"/>
      <c r="D397" s="10" t="n"/>
      <c r="E397" s="10" t="n"/>
      <c r="F397" s="11">
        <f>IF(E397="","",IF(E397="Authorize.net","1 - Slam dunk",IF(OR(E397="E-commerce",E397="B2B",E397="Vendor"),"2 - Strong",IF(E397="Retail","3 - Good",IF(E397="Restaurant/Bar/Lounge","4 - Hardest","5 - Unknown")))))</f>
        <v/>
      </c>
      <c r="G397" s="10" t="n"/>
      <c r="H397" s="10" t="n"/>
      <c r="I397" s="10" t="n"/>
      <c r="J397" s="10" t="n"/>
      <c r="K397" s="10" t="n"/>
      <c r="L397" s="10" t="n"/>
      <c r="M397" s="12" t="n"/>
      <c r="N397" s="10" t="n"/>
      <c r="O397" s="10" t="n"/>
    </row>
    <row r="398">
      <c r="A398" s="10" t="n"/>
      <c r="B398" s="10" t="n"/>
      <c r="C398" s="10" t="n"/>
      <c r="D398" s="10" t="n"/>
      <c r="E398" s="10" t="n"/>
      <c r="F398" s="11">
        <f>IF(E398="","",IF(E398="Authorize.net","1 - Slam dunk",IF(OR(E398="E-commerce",E398="B2B",E398="Vendor"),"2 - Strong",IF(E398="Retail","3 - Good",IF(E398="Restaurant/Bar/Lounge","4 - Hardest","5 - Unknown")))))</f>
        <v/>
      </c>
      <c r="G398" s="10" t="n"/>
      <c r="H398" s="10" t="n"/>
      <c r="I398" s="10" t="n"/>
      <c r="J398" s="10" t="n"/>
      <c r="K398" s="10" t="n"/>
      <c r="L398" s="10" t="n"/>
      <c r="M398" s="12" t="n"/>
      <c r="N398" s="10" t="n"/>
      <c r="O398" s="10" t="n"/>
    </row>
    <row r="399">
      <c r="A399" s="10" t="n"/>
      <c r="B399" s="10" t="n"/>
      <c r="C399" s="10" t="n"/>
      <c r="D399" s="10" t="n"/>
      <c r="E399" s="10" t="n"/>
      <c r="F399" s="11">
        <f>IF(E399="","",IF(E399="Authorize.net","1 - Slam dunk",IF(OR(E399="E-commerce",E399="B2B",E399="Vendor"),"2 - Strong",IF(E399="Retail","3 - Good",IF(E399="Restaurant/Bar/Lounge","4 - Hardest","5 - Unknown")))))</f>
        <v/>
      </c>
      <c r="G399" s="10" t="n"/>
      <c r="H399" s="10" t="n"/>
      <c r="I399" s="10" t="n"/>
      <c r="J399" s="10" t="n"/>
      <c r="K399" s="10" t="n"/>
      <c r="L399" s="10" t="n"/>
      <c r="M399" s="12" t="n"/>
      <c r="N399" s="10" t="n"/>
      <c r="O399" s="10" t="n"/>
    </row>
    <row r="400">
      <c r="A400" s="10" t="n"/>
      <c r="B400" s="10" t="n"/>
      <c r="C400" s="10" t="n"/>
      <c r="D400" s="10" t="n"/>
      <c r="E400" s="10" t="n"/>
      <c r="F400" s="11">
        <f>IF(E400="","",IF(E400="Authorize.net","1 - Slam dunk",IF(OR(E400="E-commerce",E400="B2B",E400="Vendor"),"2 - Strong",IF(E400="Retail","3 - Good",IF(E400="Restaurant/Bar/Lounge","4 - Hardest","5 - Unknown")))))</f>
        <v/>
      </c>
      <c r="G400" s="10" t="n"/>
      <c r="H400" s="10" t="n"/>
      <c r="I400" s="10" t="n"/>
      <c r="J400" s="10" t="n"/>
      <c r="K400" s="10" t="n"/>
      <c r="L400" s="10" t="n"/>
      <c r="M400" s="12" t="n"/>
      <c r="N400" s="10" t="n"/>
      <c r="O400" s="10" t="n"/>
    </row>
  </sheetData>
  <mergeCells count="1">
    <mergeCell ref="A1:O1"/>
  </mergeCells>
  <dataValidations count="3">
    <dataValidation sqref="D3:D400" showDropDown="0" showInputMessage="0" showErrorMessage="0" allowBlank="1" type="list">
      <formula1>"1 - Would pick up at 10pm,2 - Warm, business unknown,3 - Confirmed business, cooler,4 - Harvested referral"</formula1>
    </dataValidation>
    <dataValidation sqref="E3:E400" showDropDown="0" showInputMessage="0" showErrorMessage="0" allowBlank="1" type="list">
      <formula1>"Authorize.net,E-commerce,B2B,Retail,Restaurant/Bar/Lounge,Vendor,Unknown"</formula1>
    </dataValidation>
    <dataValidation sqref="L3:L400" showDropDown="0" showInputMessage="0" showErrorMessage="0" allowBlank="1" type="list">
      <formula1>"Not contacted,Contacted - no answer,Conversation had,Referred to Jeremy,Closed won,No"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8" customWidth="1" min="5" max="5"/>
    <col width="22" customWidth="1" min="6" max="6"/>
    <col width="16" customWidth="1" min="7" max="7"/>
    <col width="18" customWidth="1" min="8" max="8"/>
    <col width="44" customWidth="1" min="9" max="9"/>
  </cols>
  <sheetData>
    <row r="1">
      <c r="A1" s="5" t="inlineStr">
        <is>
          <t>Every conversation, logged the same day. Week one has no exceptions — the habit is the whole point.</t>
        </is>
      </c>
    </row>
    <row r="2" ht="30" customHeight="1">
      <c r="A2" s="6" t="inlineStr">
        <is>
          <t>Date</t>
        </is>
      </c>
      <c r="B2" s="6" t="inlineStr">
        <is>
          <t>Name</t>
        </is>
      </c>
      <c r="C2" s="6" t="inlineStr">
        <is>
          <t>Tier</t>
        </is>
      </c>
      <c r="D2" s="6" t="inlineStr">
        <is>
          <t>Channel</t>
        </is>
      </c>
      <c r="E2" s="6" t="inlineStr">
        <is>
          <t>Outcome</t>
        </is>
      </c>
      <c r="F2" s="6" t="inlineStr">
        <is>
          <t>Asked the referral question?</t>
        </is>
      </c>
      <c r="G2" s="6" t="inlineStr">
        <is>
          <t>Names harvested</t>
        </is>
      </c>
      <c r="H2" s="6" t="inlineStr">
        <is>
          <t>Referred to Jeremy?</t>
        </is>
      </c>
      <c r="I2" s="6" t="inlineStr">
        <is>
          <t>Notes</t>
        </is>
      </c>
    </row>
    <row r="3">
      <c r="A3" s="9" t="n">
        <v>46280</v>
      </c>
      <c r="B3" s="7" t="inlineStr">
        <is>
          <t>Marco Ruiz</t>
        </is>
      </c>
      <c r="C3" s="7" t="inlineStr">
        <is>
          <t>1 - Would pick up at 10pm</t>
        </is>
      </c>
      <c r="D3" s="7" t="inlineStr">
        <is>
          <t>Call</t>
        </is>
      </c>
      <c r="E3" s="7" t="inlineStr">
        <is>
          <t>Conversation</t>
        </is>
      </c>
      <c r="F3" s="7" t="inlineStr">
        <is>
          <t>Y</t>
        </is>
      </c>
      <c r="G3" s="7" t="n">
        <v>2</v>
      </c>
      <c r="H3" s="7" t="inlineStr">
        <is>
          <t>Y</t>
        </is>
      </c>
      <c r="I3" s="7" t="inlineStr">
        <is>
          <t>On Toast, annoyed about the exit clause. Gave me two names.</t>
        </is>
      </c>
    </row>
    <row r="4">
      <c r="A4" s="12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/>
      <c r="B5" s="10" t="n"/>
      <c r="C5" s="10" t="n"/>
      <c r="D5" s="10" t="n"/>
      <c r="E5" s="10" t="n"/>
      <c r="F5" s="10" t="n"/>
      <c r="G5" s="10" t="n"/>
      <c r="H5" s="10" t="n"/>
      <c r="I5" s="10" t="n"/>
    </row>
    <row r="6">
      <c r="A6" s="12" t="n"/>
      <c r="B6" s="10" t="n"/>
      <c r="C6" s="10" t="n"/>
      <c r="D6" s="10" t="n"/>
      <c r="E6" s="10" t="n"/>
      <c r="F6" s="10" t="n"/>
      <c r="G6" s="10" t="n"/>
      <c r="H6" s="10" t="n"/>
      <c r="I6" s="10" t="n"/>
    </row>
    <row r="7">
      <c r="A7" s="12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2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2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2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2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2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2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2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2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2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2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2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2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2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2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2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2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2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2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2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2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2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2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2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2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2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2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2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2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2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2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2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2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2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2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2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2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2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2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2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2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2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2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2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2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2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2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2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2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2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2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12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2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2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2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2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2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2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2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2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12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12" t="n"/>
      <c r="B70" s="10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2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2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12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12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12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2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>
      <c r="A77" s="12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2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12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12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2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12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>
      <c r="A83" s="12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>
      <c r="A84" s="12" t="n"/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2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>
      <c r="A86" s="12" t="n"/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2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12" t="n"/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12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12" t="n"/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>
      <c r="A91" s="12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2" t="n"/>
      <c r="B92" s="10" t="n"/>
      <c r="C92" s="10" t="n"/>
      <c r="D92" s="10" t="n"/>
      <c r="E92" s="10" t="n"/>
      <c r="F92" s="10" t="n"/>
      <c r="G92" s="10" t="n"/>
      <c r="H92" s="10" t="n"/>
      <c r="I92" s="10" t="n"/>
    </row>
    <row r="93">
      <c r="A93" s="12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>
      <c r="A94" s="12" t="n"/>
      <c r="B94" s="10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2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12" t="n"/>
      <c r="B96" s="10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12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12" t="n"/>
      <c r="B98" s="10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2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2" t="n"/>
      <c r="B100" s="10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2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2" t="n"/>
      <c r="B102" s="10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2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2" t="n"/>
      <c r="B104" s="10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2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  <row r="106">
      <c r="A106" s="12" t="n"/>
      <c r="B106" s="10" t="n"/>
      <c r="C106" s="10" t="n"/>
      <c r="D106" s="10" t="n"/>
      <c r="E106" s="10" t="n"/>
      <c r="F106" s="10" t="n"/>
      <c r="G106" s="10" t="n"/>
      <c r="H106" s="10" t="n"/>
      <c r="I106" s="10" t="n"/>
    </row>
    <row r="107">
      <c r="A107" s="12" t="n"/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2" t="n"/>
      <c r="B108" s="10" t="n"/>
      <c r="C108" s="10" t="n"/>
      <c r="D108" s="10" t="n"/>
      <c r="E108" s="10" t="n"/>
      <c r="F108" s="10" t="n"/>
      <c r="G108" s="10" t="n"/>
      <c r="H108" s="10" t="n"/>
      <c r="I108" s="10" t="n"/>
    </row>
    <row r="109">
      <c r="A109" s="12" t="n"/>
      <c r="B109" s="10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2" t="n"/>
      <c r="B110" s="10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2" t="n"/>
      <c r="B111" s="10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2" t="n"/>
      <c r="B112" s="10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2" t="n"/>
      <c r="B113" s="10" t="n"/>
      <c r="C113" s="10" t="n"/>
      <c r="D113" s="10" t="n"/>
      <c r="E113" s="10" t="n"/>
      <c r="F113" s="10" t="n"/>
      <c r="G113" s="10" t="n"/>
      <c r="H113" s="10" t="n"/>
      <c r="I113" s="10" t="n"/>
    </row>
    <row r="114">
      <c r="A114" s="12" t="n"/>
      <c r="B114" s="10" t="n"/>
      <c r="C114" s="10" t="n"/>
      <c r="D114" s="10" t="n"/>
      <c r="E114" s="10" t="n"/>
      <c r="F114" s="10" t="n"/>
      <c r="G114" s="10" t="n"/>
      <c r="H114" s="10" t="n"/>
      <c r="I114" s="10" t="n"/>
    </row>
    <row r="115">
      <c r="A115" s="12" t="n"/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2" t="n"/>
      <c r="B116" s="10" t="n"/>
      <c r="C116" s="10" t="n"/>
      <c r="D116" s="10" t="n"/>
      <c r="E116" s="10" t="n"/>
      <c r="F116" s="10" t="n"/>
      <c r="G116" s="10" t="n"/>
      <c r="H116" s="10" t="n"/>
      <c r="I116" s="10" t="n"/>
    </row>
    <row r="117">
      <c r="A117" s="12" t="n"/>
      <c r="B117" s="10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2" t="n"/>
      <c r="B118" s="10" t="n"/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2" t="n"/>
      <c r="B119" s="10" t="n"/>
      <c r="C119" s="10" t="n"/>
      <c r="D119" s="10" t="n"/>
      <c r="E119" s="10" t="n"/>
      <c r="F119" s="10" t="n"/>
      <c r="G119" s="10" t="n"/>
      <c r="H119" s="10" t="n"/>
      <c r="I119" s="10" t="n"/>
    </row>
    <row r="120">
      <c r="A120" s="12" t="n"/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2" t="n"/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2" t="n"/>
      <c r="B122" s="10" t="n"/>
      <c r="C122" s="10" t="n"/>
      <c r="D122" s="10" t="n"/>
      <c r="E122" s="10" t="n"/>
      <c r="F122" s="10" t="n"/>
      <c r="G122" s="10" t="n"/>
      <c r="H122" s="10" t="n"/>
      <c r="I122" s="10" t="n"/>
    </row>
    <row r="123">
      <c r="A123" s="12" t="n"/>
      <c r="B123" s="10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2" t="n"/>
      <c r="B124" s="10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2" t="n"/>
      <c r="B125" s="10" t="n"/>
      <c r="C125" s="10" t="n"/>
      <c r="D125" s="10" t="n"/>
      <c r="E125" s="10" t="n"/>
      <c r="F125" s="10" t="n"/>
      <c r="G125" s="10" t="n"/>
      <c r="H125" s="10" t="n"/>
      <c r="I125" s="10" t="n"/>
    </row>
    <row r="126">
      <c r="A126" s="12" t="n"/>
      <c r="B126" s="10" t="n"/>
      <c r="C126" s="10" t="n"/>
      <c r="D126" s="10" t="n"/>
      <c r="E126" s="10" t="n"/>
      <c r="F126" s="10" t="n"/>
      <c r="G126" s="10" t="n"/>
      <c r="H126" s="10" t="n"/>
      <c r="I126" s="10" t="n"/>
    </row>
    <row r="127">
      <c r="A127" s="12" t="n"/>
      <c r="B127" s="10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2" t="n"/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2" t="n"/>
      <c r="B129" s="10" t="n"/>
      <c r="C129" s="10" t="n"/>
      <c r="D129" s="10" t="n"/>
      <c r="E129" s="10" t="n"/>
      <c r="F129" s="10" t="n"/>
      <c r="G129" s="10" t="n"/>
      <c r="H129" s="10" t="n"/>
      <c r="I129" s="10" t="n"/>
    </row>
    <row r="130">
      <c r="A130" s="12" t="n"/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2" t="n"/>
      <c r="B131" s="10" t="n"/>
      <c r="C131" s="10" t="n"/>
      <c r="D131" s="10" t="n"/>
      <c r="E131" s="10" t="n"/>
      <c r="F131" s="10" t="n"/>
      <c r="G131" s="10" t="n"/>
      <c r="H131" s="10" t="n"/>
      <c r="I131" s="10" t="n"/>
    </row>
    <row r="132">
      <c r="A132" s="12" t="n"/>
      <c r="B132" s="10" t="n"/>
      <c r="C132" s="10" t="n"/>
      <c r="D132" s="10" t="n"/>
      <c r="E132" s="10" t="n"/>
      <c r="F132" s="10" t="n"/>
      <c r="G132" s="10" t="n"/>
      <c r="H132" s="10" t="n"/>
      <c r="I132" s="10" t="n"/>
    </row>
    <row r="133">
      <c r="A133" s="12" t="n"/>
      <c r="B133" s="10" t="n"/>
      <c r="C133" s="10" t="n"/>
      <c r="D133" s="10" t="n"/>
      <c r="E133" s="10" t="n"/>
      <c r="F133" s="10" t="n"/>
      <c r="G133" s="10" t="n"/>
      <c r="H133" s="10" t="n"/>
      <c r="I133" s="10" t="n"/>
    </row>
    <row r="134">
      <c r="A134" s="12" t="n"/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2" t="n"/>
      <c r="B135" s="10" t="n"/>
      <c r="C135" s="10" t="n"/>
      <c r="D135" s="10" t="n"/>
      <c r="E135" s="10" t="n"/>
      <c r="F135" s="10" t="n"/>
      <c r="G135" s="10" t="n"/>
      <c r="H135" s="10" t="n"/>
      <c r="I135" s="10" t="n"/>
    </row>
    <row r="136">
      <c r="A136" s="12" t="n"/>
      <c r="B136" s="10" t="n"/>
      <c r="C136" s="10" t="n"/>
      <c r="D136" s="10" t="n"/>
      <c r="E136" s="10" t="n"/>
      <c r="F136" s="10" t="n"/>
      <c r="G136" s="10" t="n"/>
      <c r="H136" s="10" t="n"/>
      <c r="I136" s="10" t="n"/>
    </row>
    <row r="137">
      <c r="A137" s="12" t="n"/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2" t="n"/>
      <c r="B138" s="10" t="n"/>
      <c r="C138" s="10" t="n"/>
      <c r="D138" s="10" t="n"/>
      <c r="E138" s="10" t="n"/>
      <c r="F138" s="10" t="n"/>
      <c r="G138" s="10" t="n"/>
      <c r="H138" s="10" t="n"/>
      <c r="I138" s="10" t="n"/>
    </row>
    <row r="139">
      <c r="A139" s="12" t="n"/>
      <c r="B139" s="10" t="n"/>
      <c r="C139" s="10" t="n"/>
      <c r="D139" s="10" t="n"/>
      <c r="E139" s="10" t="n"/>
      <c r="F139" s="10" t="n"/>
      <c r="G139" s="10" t="n"/>
      <c r="H139" s="10" t="n"/>
      <c r="I139" s="10" t="n"/>
    </row>
    <row r="140">
      <c r="A140" s="12" t="n"/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2" t="n"/>
      <c r="B141" s="10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2" t="n"/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2" t="n"/>
      <c r="B143" s="10" t="n"/>
      <c r="C143" s="10" t="n"/>
      <c r="D143" s="10" t="n"/>
      <c r="E143" s="10" t="n"/>
      <c r="F143" s="10" t="n"/>
      <c r="G143" s="10" t="n"/>
      <c r="H143" s="10" t="n"/>
      <c r="I143" s="10" t="n"/>
    </row>
    <row r="144">
      <c r="A144" s="12" t="n"/>
      <c r="B144" s="10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2" t="n"/>
      <c r="B145" s="10" t="n"/>
      <c r="C145" s="10" t="n"/>
      <c r="D145" s="10" t="n"/>
      <c r="E145" s="10" t="n"/>
      <c r="F145" s="10" t="n"/>
      <c r="G145" s="10" t="n"/>
      <c r="H145" s="10" t="n"/>
      <c r="I145" s="10" t="n"/>
    </row>
    <row r="146">
      <c r="A146" s="12" t="n"/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2" t="n"/>
      <c r="B147" s="10" t="n"/>
      <c r="C147" s="10" t="n"/>
      <c r="D147" s="10" t="n"/>
      <c r="E147" s="10" t="n"/>
      <c r="F147" s="10" t="n"/>
      <c r="G147" s="10" t="n"/>
      <c r="H147" s="10" t="n"/>
      <c r="I147" s="10" t="n"/>
    </row>
    <row r="148">
      <c r="A148" s="12" t="n"/>
      <c r="B148" s="10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2" t="n"/>
      <c r="B149" s="10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2" t="n"/>
      <c r="B150" s="10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2" t="n"/>
      <c r="B151" s="10" t="n"/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2" t="n"/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2" t="n"/>
      <c r="B153" s="10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2" t="n"/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2" t="n"/>
      <c r="B155" s="10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2" t="n"/>
      <c r="B156" s="10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2" t="n"/>
      <c r="B157" s="10" t="n"/>
      <c r="C157" s="10" t="n"/>
      <c r="D157" s="10" t="n"/>
      <c r="E157" s="10" t="n"/>
      <c r="F157" s="10" t="n"/>
      <c r="G157" s="10" t="n"/>
      <c r="H157" s="10" t="n"/>
      <c r="I157" s="10" t="n"/>
    </row>
    <row r="158">
      <c r="A158" s="12" t="n"/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2" t="n"/>
      <c r="B159" s="10" t="n"/>
      <c r="C159" s="10" t="n"/>
      <c r="D159" s="10" t="n"/>
      <c r="E159" s="10" t="n"/>
      <c r="F159" s="10" t="n"/>
      <c r="G159" s="10" t="n"/>
      <c r="H159" s="10" t="n"/>
      <c r="I159" s="10" t="n"/>
    </row>
    <row r="160">
      <c r="A160" s="12" t="n"/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2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2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2" t="n"/>
      <c r="B163" s="10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2" t="n"/>
      <c r="B164" s="10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2" t="n"/>
      <c r="B165" s="10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2" t="n"/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2" t="n"/>
      <c r="B167" s="10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2" t="n"/>
      <c r="B168" s="10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2" t="n"/>
      <c r="B169" s="10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2" t="n"/>
      <c r="B170" s="10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2" t="n"/>
      <c r="B171" s="10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2" t="n"/>
      <c r="B172" s="10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2" t="n"/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2" t="n"/>
      <c r="B174" s="10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2" t="n"/>
      <c r="B175" s="10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2" t="n"/>
      <c r="B176" s="10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2" t="n"/>
      <c r="B177" s="10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2" t="n"/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2" t="n"/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2" t="n"/>
      <c r="B180" s="10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2" t="n"/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2" t="n"/>
      <c r="B182" s="10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2" t="n"/>
      <c r="B183" s="10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2" t="n"/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2" t="n"/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2" t="n"/>
      <c r="B186" s="10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2" t="n"/>
      <c r="B187" s="10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2" t="n"/>
      <c r="B188" s="10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2" t="n"/>
      <c r="B189" s="10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2" t="n"/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2" t="n"/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2" t="n"/>
      <c r="B192" s="10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2" t="n"/>
      <c r="B193" s="10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2" t="n"/>
      <c r="B194" s="10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2" t="n"/>
      <c r="B195" s="10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2" t="n"/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2" t="n"/>
      <c r="B197" s="10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2" t="n"/>
      <c r="B198" s="10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2" t="n"/>
      <c r="B199" s="10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2" t="n"/>
      <c r="B200" s="10" t="n"/>
      <c r="C200" s="10" t="n"/>
      <c r="D200" s="10" t="n"/>
      <c r="E200" s="10" t="n"/>
      <c r="F200" s="10" t="n"/>
      <c r="G200" s="10" t="n"/>
      <c r="H200" s="10" t="n"/>
      <c r="I200" s="10" t="n"/>
    </row>
    <row r="201">
      <c r="A201" s="12" t="n"/>
      <c r="B201" s="10" t="n"/>
      <c r="C201" s="10" t="n"/>
      <c r="D201" s="10" t="n"/>
      <c r="E201" s="10" t="n"/>
      <c r="F201" s="10" t="n"/>
      <c r="G201" s="10" t="n"/>
      <c r="H201" s="10" t="n"/>
      <c r="I201" s="10" t="n"/>
    </row>
    <row r="202">
      <c r="A202" s="12" t="n"/>
      <c r="B202" s="10" t="n"/>
      <c r="C202" s="10" t="n"/>
      <c r="D202" s="10" t="n"/>
      <c r="E202" s="10" t="n"/>
      <c r="F202" s="10" t="n"/>
      <c r="G202" s="10" t="n"/>
      <c r="H202" s="10" t="n"/>
      <c r="I202" s="10" t="n"/>
    </row>
    <row r="203">
      <c r="A203" s="12" t="n"/>
      <c r="B203" s="10" t="n"/>
      <c r="C203" s="10" t="n"/>
      <c r="D203" s="10" t="n"/>
      <c r="E203" s="10" t="n"/>
      <c r="F203" s="10" t="n"/>
      <c r="G203" s="10" t="n"/>
      <c r="H203" s="10" t="n"/>
      <c r="I203" s="10" t="n"/>
    </row>
    <row r="204">
      <c r="A204" s="12" t="n"/>
      <c r="B204" s="10" t="n"/>
      <c r="C204" s="10" t="n"/>
      <c r="D204" s="10" t="n"/>
      <c r="E204" s="10" t="n"/>
      <c r="F204" s="10" t="n"/>
      <c r="G204" s="10" t="n"/>
      <c r="H204" s="10" t="n"/>
      <c r="I204" s="10" t="n"/>
    </row>
    <row r="205">
      <c r="A205" s="12" t="n"/>
      <c r="B205" s="10" t="n"/>
      <c r="C205" s="10" t="n"/>
      <c r="D205" s="10" t="n"/>
      <c r="E205" s="10" t="n"/>
      <c r="F205" s="10" t="n"/>
      <c r="G205" s="10" t="n"/>
      <c r="H205" s="10" t="n"/>
      <c r="I205" s="10" t="n"/>
    </row>
    <row r="206">
      <c r="A206" s="12" t="n"/>
      <c r="B206" s="10" t="n"/>
      <c r="C206" s="10" t="n"/>
      <c r="D206" s="10" t="n"/>
      <c r="E206" s="10" t="n"/>
      <c r="F206" s="10" t="n"/>
      <c r="G206" s="10" t="n"/>
      <c r="H206" s="10" t="n"/>
      <c r="I206" s="10" t="n"/>
    </row>
    <row r="207">
      <c r="A207" s="12" t="n"/>
      <c r="B207" s="10" t="n"/>
      <c r="C207" s="10" t="n"/>
      <c r="D207" s="10" t="n"/>
      <c r="E207" s="10" t="n"/>
      <c r="F207" s="10" t="n"/>
      <c r="G207" s="10" t="n"/>
      <c r="H207" s="10" t="n"/>
      <c r="I207" s="10" t="n"/>
    </row>
    <row r="208">
      <c r="A208" s="12" t="n"/>
      <c r="B208" s="10" t="n"/>
      <c r="C208" s="10" t="n"/>
      <c r="D208" s="10" t="n"/>
      <c r="E208" s="10" t="n"/>
      <c r="F208" s="10" t="n"/>
      <c r="G208" s="10" t="n"/>
      <c r="H208" s="10" t="n"/>
      <c r="I208" s="10" t="n"/>
    </row>
    <row r="209">
      <c r="A209" s="12" t="n"/>
      <c r="B209" s="10" t="n"/>
      <c r="C209" s="10" t="n"/>
      <c r="D209" s="10" t="n"/>
      <c r="E209" s="10" t="n"/>
      <c r="F209" s="10" t="n"/>
      <c r="G209" s="10" t="n"/>
      <c r="H209" s="10" t="n"/>
      <c r="I209" s="10" t="n"/>
    </row>
    <row r="210">
      <c r="A210" s="12" t="n"/>
      <c r="B210" s="10" t="n"/>
      <c r="C210" s="10" t="n"/>
      <c r="D210" s="10" t="n"/>
      <c r="E210" s="10" t="n"/>
      <c r="F210" s="10" t="n"/>
      <c r="G210" s="10" t="n"/>
      <c r="H210" s="10" t="n"/>
      <c r="I210" s="10" t="n"/>
    </row>
    <row r="211">
      <c r="A211" s="12" t="n"/>
      <c r="B211" s="10" t="n"/>
      <c r="C211" s="10" t="n"/>
      <c r="D211" s="10" t="n"/>
      <c r="E211" s="10" t="n"/>
      <c r="F211" s="10" t="n"/>
      <c r="G211" s="10" t="n"/>
      <c r="H211" s="10" t="n"/>
      <c r="I211" s="10" t="n"/>
    </row>
    <row r="212">
      <c r="A212" s="12" t="n"/>
      <c r="B212" s="10" t="n"/>
      <c r="C212" s="10" t="n"/>
      <c r="D212" s="10" t="n"/>
      <c r="E212" s="10" t="n"/>
      <c r="F212" s="10" t="n"/>
      <c r="G212" s="10" t="n"/>
      <c r="H212" s="10" t="n"/>
      <c r="I212" s="10" t="n"/>
    </row>
    <row r="213">
      <c r="A213" s="12" t="n"/>
      <c r="B213" s="10" t="n"/>
      <c r="C213" s="10" t="n"/>
      <c r="D213" s="10" t="n"/>
      <c r="E213" s="10" t="n"/>
      <c r="F213" s="10" t="n"/>
      <c r="G213" s="10" t="n"/>
      <c r="H213" s="10" t="n"/>
      <c r="I213" s="10" t="n"/>
    </row>
    <row r="214">
      <c r="A214" s="12" t="n"/>
      <c r="B214" s="10" t="n"/>
      <c r="C214" s="10" t="n"/>
      <c r="D214" s="10" t="n"/>
      <c r="E214" s="10" t="n"/>
      <c r="F214" s="10" t="n"/>
      <c r="G214" s="10" t="n"/>
      <c r="H214" s="10" t="n"/>
      <c r="I214" s="10" t="n"/>
    </row>
    <row r="215">
      <c r="A215" s="12" t="n"/>
      <c r="B215" s="10" t="n"/>
      <c r="C215" s="10" t="n"/>
      <c r="D215" s="10" t="n"/>
      <c r="E215" s="10" t="n"/>
      <c r="F215" s="10" t="n"/>
      <c r="G215" s="10" t="n"/>
      <c r="H215" s="10" t="n"/>
      <c r="I215" s="10" t="n"/>
    </row>
    <row r="216">
      <c r="A216" s="12" t="n"/>
      <c r="B216" s="10" t="n"/>
      <c r="C216" s="10" t="n"/>
      <c r="D216" s="10" t="n"/>
      <c r="E216" s="10" t="n"/>
      <c r="F216" s="10" t="n"/>
      <c r="G216" s="10" t="n"/>
      <c r="H216" s="10" t="n"/>
      <c r="I216" s="10" t="n"/>
    </row>
    <row r="217">
      <c r="A217" s="12" t="n"/>
      <c r="B217" s="10" t="n"/>
      <c r="C217" s="10" t="n"/>
      <c r="D217" s="10" t="n"/>
      <c r="E217" s="10" t="n"/>
      <c r="F217" s="10" t="n"/>
      <c r="G217" s="10" t="n"/>
      <c r="H217" s="10" t="n"/>
      <c r="I217" s="10" t="n"/>
    </row>
    <row r="218">
      <c r="A218" s="12" t="n"/>
      <c r="B218" s="10" t="n"/>
      <c r="C218" s="10" t="n"/>
      <c r="D218" s="10" t="n"/>
      <c r="E218" s="10" t="n"/>
      <c r="F218" s="10" t="n"/>
      <c r="G218" s="10" t="n"/>
      <c r="H218" s="10" t="n"/>
      <c r="I218" s="10" t="n"/>
    </row>
    <row r="219">
      <c r="A219" s="12" t="n"/>
      <c r="B219" s="10" t="n"/>
      <c r="C219" s="10" t="n"/>
      <c r="D219" s="10" t="n"/>
      <c r="E219" s="10" t="n"/>
      <c r="F219" s="10" t="n"/>
      <c r="G219" s="10" t="n"/>
      <c r="H219" s="10" t="n"/>
      <c r="I219" s="10" t="n"/>
    </row>
    <row r="220">
      <c r="A220" s="12" t="n"/>
      <c r="B220" s="10" t="n"/>
      <c r="C220" s="10" t="n"/>
      <c r="D220" s="10" t="n"/>
      <c r="E220" s="10" t="n"/>
      <c r="F220" s="10" t="n"/>
      <c r="G220" s="10" t="n"/>
      <c r="H220" s="10" t="n"/>
      <c r="I220" s="10" t="n"/>
    </row>
    <row r="221">
      <c r="A221" s="12" t="n"/>
      <c r="B221" s="10" t="n"/>
      <c r="C221" s="10" t="n"/>
      <c r="D221" s="10" t="n"/>
      <c r="E221" s="10" t="n"/>
      <c r="F221" s="10" t="n"/>
      <c r="G221" s="10" t="n"/>
      <c r="H221" s="10" t="n"/>
      <c r="I221" s="10" t="n"/>
    </row>
    <row r="222">
      <c r="A222" s="12" t="n"/>
      <c r="B222" s="10" t="n"/>
      <c r="C222" s="10" t="n"/>
      <c r="D222" s="10" t="n"/>
      <c r="E222" s="10" t="n"/>
      <c r="F222" s="10" t="n"/>
      <c r="G222" s="10" t="n"/>
      <c r="H222" s="10" t="n"/>
      <c r="I222" s="10" t="n"/>
    </row>
    <row r="223">
      <c r="A223" s="12" t="n"/>
      <c r="B223" s="10" t="n"/>
      <c r="C223" s="10" t="n"/>
      <c r="D223" s="10" t="n"/>
      <c r="E223" s="10" t="n"/>
      <c r="F223" s="10" t="n"/>
      <c r="G223" s="10" t="n"/>
      <c r="H223" s="10" t="n"/>
      <c r="I223" s="10" t="n"/>
    </row>
    <row r="224">
      <c r="A224" s="12" t="n"/>
      <c r="B224" s="10" t="n"/>
      <c r="C224" s="10" t="n"/>
      <c r="D224" s="10" t="n"/>
      <c r="E224" s="10" t="n"/>
      <c r="F224" s="10" t="n"/>
      <c r="G224" s="10" t="n"/>
      <c r="H224" s="10" t="n"/>
      <c r="I224" s="10" t="n"/>
    </row>
    <row r="225">
      <c r="A225" s="12" t="n"/>
      <c r="B225" s="10" t="n"/>
      <c r="C225" s="10" t="n"/>
      <c r="D225" s="10" t="n"/>
      <c r="E225" s="10" t="n"/>
      <c r="F225" s="10" t="n"/>
      <c r="G225" s="10" t="n"/>
      <c r="H225" s="10" t="n"/>
      <c r="I225" s="10" t="n"/>
    </row>
    <row r="226">
      <c r="A226" s="12" t="n"/>
      <c r="B226" s="10" t="n"/>
      <c r="C226" s="10" t="n"/>
      <c r="D226" s="10" t="n"/>
      <c r="E226" s="10" t="n"/>
      <c r="F226" s="10" t="n"/>
      <c r="G226" s="10" t="n"/>
      <c r="H226" s="10" t="n"/>
      <c r="I226" s="10" t="n"/>
    </row>
    <row r="227">
      <c r="A227" s="12" t="n"/>
      <c r="B227" s="10" t="n"/>
      <c r="C227" s="10" t="n"/>
      <c r="D227" s="10" t="n"/>
      <c r="E227" s="10" t="n"/>
      <c r="F227" s="10" t="n"/>
      <c r="G227" s="10" t="n"/>
      <c r="H227" s="10" t="n"/>
      <c r="I227" s="10" t="n"/>
    </row>
    <row r="228">
      <c r="A228" s="12" t="n"/>
      <c r="B228" s="10" t="n"/>
      <c r="C228" s="10" t="n"/>
      <c r="D228" s="10" t="n"/>
      <c r="E228" s="10" t="n"/>
      <c r="F228" s="10" t="n"/>
      <c r="G228" s="10" t="n"/>
      <c r="H228" s="10" t="n"/>
      <c r="I228" s="10" t="n"/>
    </row>
    <row r="229">
      <c r="A229" s="12" t="n"/>
      <c r="B229" s="10" t="n"/>
      <c r="C229" s="10" t="n"/>
      <c r="D229" s="10" t="n"/>
      <c r="E229" s="10" t="n"/>
      <c r="F229" s="10" t="n"/>
      <c r="G229" s="10" t="n"/>
      <c r="H229" s="10" t="n"/>
      <c r="I229" s="10" t="n"/>
    </row>
    <row r="230">
      <c r="A230" s="12" t="n"/>
      <c r="B230" s="10" t="n"/>
      <c r="C230" s="10" t="n"/>
      <c r="D230" s="10" t="n"/>
      <c r="E230" s="10" t="n"/>
      <c r="F230" s="10" t="n"/>
      <c r="G230" s="10" t="n"/>
      <c r="H230" s="10" t="n"/>
      <c r="I230" s="10" t="n"/>
    </row>
    <row r="231">
      <c r="A231" s="12" t="n"/>
      <c r="B231" s="10" t="n"/>
      <c r="C231" s="10" t="n"/>
      <c r="D231" s="10" t="n"/>
      <c r="E231" s="10" t="n"/>
      <c r="F231" s="10" t="n"/>
      <c r="G231" s="10" t="n"/>
      <c r="H231" s="10" t="n"/>
      <c r="I231" s="10" t="n"/>
    </row>
    <row r="232">
      <c r="A232" s="12" t="n"/>
      <c r="B232" s="10" t="n"/>
      <c r="C232" s="10" t="n"/>
      <c r="D232" s="10" t="n"/>
      <c r="E232" s="10" t="n"/>
      <c r="F232" s="10" t="n"/>
      <c r="G232" s="10" t="n"/>
      <c r="H232" s="10" t="n"/>
      <c r="I232" s="10" t="n"/>
    </row>
    <row r="233">
      <c r="A233" s="12" t="n"/>
      <c r="B233" s="10" t="n"/>
      <c r="C233" s="10" t="n"/>
      <c r="D233" s="10" t="n"/>
      <c r="E233" s="10" t="n"/>
      <c r="F233" s="10" t="n"/>
      <c r="G233" s="10" t="n"/>
      <c r="H233" s="10" t="n"/>
      <c r="I233" s="10" t="n"/>
    </row>
    <row r="234">
      <c r="A234" s="12" t="n"/>
      <c r="B234" s="10" t="n"/>
      <c r="C234" s="10" t="n"/>
      <c r="D234" s="10" t="n"/>
      <c r="E234" s="10" t="n"/>
      <c r="F234" s="10" t="n"/>
      <c r="G234" s="10" t="n"/>
      <c r="H234" s="10" t="n"/>
      <c r="I234" s="10" t="n"/>
    </row>
    <row r="235">
      <c r="A235" s="12" t="n"/>
      <c r="B235" s="10" t="n"/>
      <c r="C235" s="10" t="n"/>
      <c r="D235" s="10" t="n"/>
      <c r="E235" s="10" t="n"/>
      <c r="F235" s="10" t="n"/>
      <c r="G235" s="10" t="n"/>
      <c r="H235" s="10" t="n"/>
      <c r="I235" s="10" t="n"/>
    </row>
    <row r="236">
      <c r="A236" s="12" t="n"/>
      <c r="B236" s="10" t="n"/>
      <c r="C236" s="10" t="n"/>
      <c r="D236" s="10" t="n"/>
      <c r="E236" s="10" t="n"/>
      <c r="F236" s="10" t="n"/>
      <c r="G236" s="10" t="n"/>
      <c r="H236" s="10" t="n"/>
      <c r="I236" s="10" t="n"/>
    </row>
    <row r="237">
      <c r="A237" s="12" t="n"/>
      <c r="B237" s="10" t="n"/>
      <c r="C237" s="10" t="n"/>
      <c r="D237" s="10" t="n"/>
      <c r="E237" s="10" t="n"/>
      <c r="F237" s="10" t="n"/>
      <c r="G237" s="10" t="n"/>
      <c r="H237" s="10" t="n"/>
      <c r="I237" s="10" t="n"/>
    </row>
    <row r="238">
      <c r="A238" s="12" t="n"/>
      <c r="B238" s="10" t="n"/>
      <c r="C238" s="10" t="n"/>
      <c r="D238" s="10" t="n"/>
      <c r="E238" s="10" t="n"/>
      <c r="F238" s="10" t="n"/>
      <c r="G238" s="10" t="n"/>
      <c r="H238" s="10" t="n"/>
      <c r="I238" s="10" t="n"/>
    </row>
    <row r="239">
      <c r="A239" s="12" t="n"/>
      <c r="B239" s="10" t="n"/>
      <c r="C239" s="10" t="n"/>
      <c r="D239" s="10" t="n"/>
      <c r="E239" s="10" t="n"/>
      <c r="F239" s="10" t="n"/>
      <c r="G239" s="10" t="n"/>
      <c r="H239" s="10" t="n"/>
      <c r="I239" s="10" t="n"/>
    </row>
    <row r="240">
      <c r="A240" s="12" t="n"/>
      <c r="B240" s="10" t="n"/>
      <c r="C240" s="10" t="n"/>
      <c r="D240" s="10" t="n"/>
      <c r="E240" s="10" t="n"/>
      <c r="F240" s="10" t="n"/>
      <c r="G240" s="10" t="n"/>
      <c r="H240" s="10" t="n"/>
      <c r="I240" s="10" t="n"/>
    </row>
    <row r="241">
      <c r="A241" s="12" t="n"/>
      <c r="B241" s="10" t="n"/>
      <c r="C241" s="10" t="n"/>
      <c r="D241" s="10" t="n"/>
      <c r="E241" s="10" t="n"/>
      <c r="F241" s="10" t="n"/>
      <c r="G241" s="10" t="n"/>
      <c r="H241" s="10" t="n"/>
      <c r="I241" s="10" t="n"/>
    </row>
    <row r="242">
      <c r="A242" s="12" t="n"/>
      <c r="B242" s="10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2" t="n"/>
      <c r="B243" s="10" t="n"/>
      <c r="C243" s="10" t="n"/>
      <c r="D243" s="10" t="n"/>
      <c r="E243" s="10" t="n"/>
      <c r="F243" s="10" t="n"/>
      <c r="G243" s="10" t="n"/>
      <c r="H243" s="10" t="n"/>
      <c r="I243" s="10" t="n"/>
    </row>
    <row r="244">
      <c r="A244" s="12" t="n"/>
      <c r="B244" s="10" t="n"/>
      <c r="C244" s="10" t="n"/>
      <c r="D244" s="10" t="n"/>
      <c r="E244" s="10" t="n"/>
      <c r="F244" s="10" t="n"/>
      <c r="G244" s="10" t="n"/>
      <c r="H244" s="10" t="n"/>
      <c r="I244" s="10" t="n"/>
    </row>
    <row r="245">
      <c r="A245" s="12" t="n"/>
      <c r="B245" s="10" t="n"/>
      <c r="C245" s="10" t="n"/>
      <c r="D245" s="10" t="n"/>
      <c r="E245" s="10" t="n"/>
      <c r="F245" s="10" t="n"/>
      <c r="G245" s="10" t="n"/>
      <c r="H245" s="10" t="n"/>
      <c r="I245" s="10" t="n"/>
    </row>
    <row r="246">
      <c r="A246" s="12" t="n"/>
      <c r="B246" s="10" t="n"/>
      <c r="C246" s="10" t="n"/>
      <c r="D246" s="10" t="n"/>
      <c r="E246" s="10" t="n"/>
      <c r="F246" s="10" t="n"/>
      <c r="G246" s="10" t="n"/>
      <c r="H246" s="10" t="n"/>
      <c r="I246" s="10" t="n"/>
    </row>
    <row r="247">
      <c r="A247" s="12" t="n"/>
      <c r="B247" s="10" t="n"/>
      <c r="C247" s="10" t="n"/>
      <c r="D247" s="10" t="n"/>
      <c r="E247" s="10" t="n"/>
      <c r="F247" s="10" t="n"/>
      <c r="G247" s="10" t="n"/>
      <c r="H247" s="10" t="n"/>
      <c r="I247" s="10" t="n"/>
    </row>
    <row r="248">
      <c r="A248" s="12" t="n"/>
      <c r="B248" s="10" t="n"/>
      <c r="C248" s="10" t="n"/>
      <c r="D248" s="10" t="n"/>
      <c r="E248" s="10" t="n"/>
      <c r="F248" s="10" t="n"/>
      <c r="G248" s="10" t="n"/>
      <c r="H248" s="10" t="n"/>
      <c r="I248" s="10" t="n"/>
    </row>
    <row r="249">
      <c r="A249" s="12" t="n"/>
      <c r="B249" s="10" t="n"/>
      <c r="C249" s="10" t="n"/>
      <c r="D249" s="10" t="n"/>
      <c r="E249" s="10" t="n"/>
      <c r="F249" s="10" t="n"/>
      <c r="G249" s="10" t="n"/>
      <c r="H249" s="10" t="n"/>
      <c r="I249" s="10" t="n"/>
    </row>
    <row r="250">
      <c r="A250" s="12" t="n"/>
      <c r="B250" s="10" t="n"/>
      <c r="C250" s="10" t="n"/>
      <c r="D250" s="10" t="n"/>
      <c r="E250" s="10" t="n"/>
      <c r="F250" s="10" t="n"/>
      <c r="G250" s="10" t="n"/>
      <c r="H250" s="10" t="n"/>
      <c r="I250" s="10" t="n"/>
    </row>
    <row r="251">
      <c r="A251" s="12" t="n"/>
      <c r="B251" s="10" t="n"/>
      <c r="C251" s="10" t="n"/>
      <c r="D251" s="10" t="n"/>
      <c r="E251" s="10" t="n"/>
      <c r="F251" s="10" t="n"/>
      <c r="G251" s="10" t="n"/>
      <c r="H251" s="10" t="n"/>
      <c r="I251" s="10" t="n"/>
    </row>
    <row r="252">
      <c r="A252" s="12" t="n"/>
      <c r="B252" s="10" t="n"/>
      <c r="C252" s="10" t="n"/>
      <c r="D252" s="10" t="n"/>
      <c r="E252" s="10" t="n"/>
      <c r="F252" s="10" t="n"/>
      <c r="G252" s="10" t="n"/>
      <c r="H252" s="10" t="n"/>
      <c r="I252" s="10" t="n"/>
    </row>
    <row r="253">
      <c r="A253" s="12" t="n"/>
      <c r="B253" s="10" t="n"/>
      <c r="C253" s="10" t="n"/>
      <c r="D253" s="10" t="n"/>
      <c r="E253" s="10" t="n"/>
      <c r="F253" s="10" t="n"/>
      <c r="G253" s="10" t="n"/>
      <c r="H253" s="10" t="n"/>
      <c r="I253" s="10" t="n"/>
    </row>
    <row r="254">
      <c r="A254" s="12" t="n"/>
      <c r="B254" s="10" t="n"/>
      <c r="C254" s="10" t="n"/>
      <c r="D254" s="10" t="n"/>
      <c r="E254" s="10" t="n"/>
      <c r="F254" s="10" t="n"/>
      <c r="G254" s="10" t="n"/>
      <c r="H254" s="10" t="n"/>
      <c r="I254" s="10" t="n"/>
    </row>
    <row r="255">
      <c r="A255" s="12" t="n"/>
      <c r="B255" s="10" t="n"/>
      <c r="C255" s="10" t="n"/>
      <c r="D255" s="10" t="n"/>
      <c r="E255" s="10" t="n"/>
      <c r="F255" s="10" t="n"/>
      <c r="G255" s="10" t="n"/>
      <c r="H255" s="10" t="n"/>
      <c r="I255" s="10" t="n"/>
    </row>
    <row r="256">
      <c r="A256" s="12" t="n"/>
      <c r="B256" s="10" t="n"/>
      <c r="C256" s="10" t="n"/>
      <c r="D256" s="10" t="n"/>
      <c r="E256" s="10" t="n"/>
      <c r="F256" s="10" t="n"/>
      <c r="G256" s="10" t="n"/>
      <c r="H256" s="10" t="n"/>
      <c r="I256" s="10" t="n"/>
    </row>
    <row r="257">
      <c r="A257" s="12" t="n"/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2" t="n"/>
      <c r="B258" s="10" t="n"/>
      <c r="C258" s="10" t="n"/>
      <c r="D258" s="10" t="n"/>
      <c r="E258" s="10" t="n"/>
      <c r="F258" s="10" t="n"/>
      <c r="G258" s="10" t="n"/>
      <c r="H258" s="10" t="n"/>
      <c r="I258" s="10" t="n"/>
    </row>
    <row r="259">
      <c r="A259" s="12" t="n"/>
      <c r="B259" s="10" t="n"/>
      <c r="C259" s="10" t="n"/>
      <c r="D259" s="10" t="n"/>
      <c r="E259" s="10" t="n"/>
      <c r="F259" s="10" t="n"/>
      <c r="G259" s="10" t="n"/>
      <c r="H259" s="10" t="n"/>
      <c r="I259" s="10" t="n"/>
    </row>
    <row r="260">
      <c r="A260" s="12" t="n"/>
      <c r="B260" s="10" t="n"/>
      <c r="C260" s="10" t="n"/>
      <c r="D260" s="10" t="n"/>
      <c r="E260" s="10" t="n"/>
      <c r="F260" s="10" t="n"/>
      <c r="G260" s="10" t="n"/>
      <c r="H260" s="10" t="n"/>
      <c r="I260" s="10" t="n"/>
    </row>
    <row r="261">
      <c r="A261" s="12" t="n"/>
      <c r="B261" s="10" t="n"/>
      <c r="C261" s="10" t="n"/>
      <c r="D261" s="10" t="n"/>
      <c r="E261" s="10" t="n"/>
      <c r="F261" s="10" t="n"/>
      <c r="G261" s="10" t="n"/>
      <c r="H261" s="10" t="n"/>
      <c r="I261" s="10" t="n"/>
    </row>
    <row r="262">
      <c r="A262" s="12" t="n"/>
      <c r="B262" s="10" t="n"/>
      <c r="C262" s="10" t="n"/>
      <c r="D262" s="10" t="n"/>
      <c r="E262" s="10" t="n"/>
      <c r="F262" s="10" t="n"/>
      <c r="G262" s="10" t="n"/>
      <c r="H262" s="10" t="n"/>
      <c r="I262" s="10" t="n"/>
    </row>
    <row r="263">
      <c r="A263" s="12" t="n"/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2" t="n"/>
      <c r="B264" s="10" t="n"/>
      <c r="C264" s="10" t="n"/>
      <c r="D264" s="10" t="n"/>
      <c r="E264" s="10" t="n"/>
      <c r="F264" s="10" t="n"/>
      <c r="G264" s="10" t="n"/>
      <c r="H264" s="10" t="n"/>
      <c r="I264" s="10" t="n"/>
    </row>
    <row r="265">
      <c r="A265" s="12" t="n"/>
      <c r="B265" s="10" t="n"/>
      <c r="C265" s="10" t="n"/>
      <c r="D265" s="10" t="n"/>
      <c r="E265" s="10" t="n"/>
      <c r="F265" s="10" t="n"/>
      <c r="G265" s="10" t="n"/>
      <c r="H265" s="10" t="n"/>
      <c r="I265" s="10" t="n"/>
    </row>
    <row r="266">
      <c r="A266" s="12" t="n"/>
      <c r="B266" s="10" t="n"/>
      <c r="C266" s="10" t="n"/>
      <c r="D266" s="10" t="n"/>
      <c r="E266" s="10" t="n"/>
      <c r="F266" s="10" t="n"/>
      <c r="G266" s="10" t="n"/>
      <c r="H266" s="10" t="n"/>
      <c r="I266" s="10" t="n"/>
    </row>
    <row r="267">
      <c r="A267" s="12" t="n"/>
      <c r="B267" s="10" t="n"/>
      <c r="C267" s="10" t="n"/>
      <c r="D267" s="10" t="n"/>
      <c r="E267" s="10" t="n"/>
      <c r="F267" s="10" t="n"/>
      <c r="G267" s="10" t="n"/>
      <c r="H267" s="10" t="n"/>
      <c r="I267" s="10" t="n"/>
    </row>
    <row r="268">
      <c r="A268" s="12" t="n"/>
      <c r="B268" s="10" t="n"/>
      <c r="C268" s="10" t="n"/>
      <c r="D268" s="10" t="n"/>
      <c r="E268" s="10" t="n"/>
      <c r="F268" s="10" t="n"/>
      <c r="G268" s="10" t="n"/>
      <c r="H268" s="10" t="n"/>
      <c r="I268" s="10" t="n"/>
    </row>
    <row r="269">
      <c r="A269" s="12" t="n"/>
      <c r="B269" s="10" t="n"/>
      <c r="C269" s="10" t="n"/>
      <c r="D269" s="10" t="n"/>
      <c r="E269" s="10" t="n"/>
      <c r="F269" s="10" t="n"/>
      <c r="G269" s="10" t="n"/>
      <c r="H269" s="10" t="n"/>
      <c r="I269" s="10" t="n"/>
    </row>
    <row r="270">
      <c r="A270" s="12" t="n"/>
      <c r="B270" s="10" t="n"/>
      <c r="C270" s="10" t="n"/>
      <c r="D270" s="10" t="n"/>
      <c r="E270" s="10" t="n"/>
      <c r="F270" s="10" t="n"/>
      <c r="G270" s="10" t="n"/>
      <c r="H270" s="10" t="n"/>
      <c r="I270" s="10" t="n"/>
    </row>
    <row r="271">
      <c r="A271" s="12" t="n"/>
      <c r="B271" s="10" t="n"/>
      <c r="C271" s="10" t="n"/>
      <c r="D271" s="10" t="n"/>
      <c r="E271" s="10" t="n"/>
      <c r="F271" s="10" t="n"/>
      <c r="G271" s="10" t="n"/>
      <c r="H271" s="10" t="n"/>
      <c r="I271" s="10" t="n"/>
    </row>
    <row r="272">
      <c r="A272" s="12" t="n"/>
      <c r="B272" s="10" t="n"/>
      <c r="C272" s="10" t="n"/>
      <c r="D272" s="10" t="n"/>
      <c r="E272" s="10" t="n"/>
      <c r="F272" s="10" t="n"/>
      <c r="G272" s="10" t="n"/>
      <c r="H272" s="10" t="n"/>
      <c r="I272" s="10" t="n"/>
    </row>
    <row r="273">
      <c r="A273" s="12" t="n"/>
      <c r="B273" s="10" t="n"/>
      <c r="C273" s="10" t="n"/>
      <c r="D273" s="10" t="n"/>
      <c r="E273" s="10" t="n"/>
      <c r="F273" s="10" t="n"/>
      <c r="G273" s="10" t="n"/>
      <c r="H273" s="10" t="n"/>
      <c r="I273" s="10" t="n"/>
    </row>
    <row r="274">
      <c r="A274" s="12" t="n"/>
      <c r="B274" s="10" t="n"/>
      <c r="C274" s="10" t="n"/>
      <c r="D274" s="10" t="n"/>
      <c r="E274" s="10" t="n"/>
      <c r="F274" s="10" t="n"/>
      <c r="G274" s="10" t="n"/>
      <c r="H274" s="10" t="n"/>
      <c r="I274" s="10" t="n"/>
    </row>
    <row r="275">
      <c r="A275" s="12" t="n"/>
      <c r="B275" s="10" t="n"/>
      <c r="C275" s="10" t="n"/>
      <c r="D275" s="10" t="n"/>
      <c r="E275" s="10" t="n"/>
      <c r="F275" s="10" t="n"/>
      <c r="G275" s="10" t="n"/>
      <c r="H275" s="10" t="n"/>
      <c r="I275" s="10" t="n"/>
    </row>
    <row r="276">
      <c r="A276" s="12" t="n"/>
      <c r="B276" s="10" t="n"/>
      <c r="C276" s="10" t="n"/>
      <c r="D276" s="10" t="n"/>
      <c r="E276" s="10" t="n"/>
      <c r="F276" s="10" t="n"/>
      <c r="G276" s="10" t="n"/>
      <c r="H276" s="10" t="n"/>
      <c r="I276" s="10" t="n"/>
    </row>
    <row r="277">
      <c r="A277" s="12" t="n"/>
      <c r="B277" s="10" t="n"/>
      <c r="C277" s="10" t="n"/>
      <c r="D277" s="10" t="n"/>
      <c r="E277" s="10" t="n"/>
      <c r="F277" s="10" t="n"/>
      <c r="G277" s="10" t="n"/>
      <c r="H277" s="10" t="n"/>
      <c r="I277" s="10" t="n"/>
    </row>
    <row r="278">
      <c r="A278" s="12" t="n"/>
      <c r="B278" s="10" t="n"/>
      <c r="C278" s="10" t="n"/>
      <c r="D278" s="10" t="n"/>
      <c r="E278" s="10" t="n"/>
      <c r="F278" s="10" t="n"/>
      <c r="G278" s="10" t="n"/>
      <c r="H278" s="10" t="n"/>
      <c r="I278" s="10" t="n"/>
    </row>
    <row r="279">
      <c r="A279" s="12" t="n"/>
      <c r="B279" s="10" t="n"/>
      <c r="C279" s="10" t="n"/>
      <c r="D279" s="10" t="n"/>
      <c r="E279" s="10" t="n"/>
      <c r="F279" s="10" t="n"/>
      <c r="G279" s="10" t="n"/>
      <c r="H279" s="10" t="n"/>
      <c r="I279" s="10" t="n"/>
    </row>
    <row r="280">
      <c r="A280" s="12" t="n"/>
      <c r="B280" s="10" t="n"/>
      <c r="C280" s="10" t="n"/>
      <c r="D280" s="10" t="n"/>
      <c r="E280" s="10" t="n"/>
      <c r="F280" s="10" t="n"/>
      <c r="G280" s="10" t="n"/>
      <c r="H280" s="10" t="n"/>
      <c r="I280" s="10" t="n"/>
    </row>
    <row r="281">
      <c r="A281" s="12" t="n"/>
      <c r="B281" s="10" t="n"/>
      <c r="C281" s="10" t="n"/>
      <c r="D281" s="10" t="n"/>
      <c r="E281" s="10" t="n"/>
      <c r="F281" s="10" t="n"/>
      <c r="G281" s="10" t="n"/>
      <c r="H281" s="10" t="n"/>
      <c r="I281" s="10" t="n"/>
    </row>
    <row r="282">
      <c r="A282" s="12" t="n"/>
      <c r="B282" s="10" t="n"/>
      <c r="C282" s="10" t="n"/>
      <c r="D282" s="10" t="n"/>
      <c r="E282" s="10" t="n"/>
      <c r="F282" s="10" t="n"/>
      <c r="G282" s="10" t="n"/>
      <c r="H282" s="10" t="n"/>
      <c r="I282" s="10" t="n"/>
    </row>
    <row r="283">
      <c r="A283" s="12" t="n"/>
      <c r="B283" s="10" t="n"/>
      <c r="C283" s="10" t="n"/>
      <c r="D283" s="10" t="n"/>
      <c r="E283" s="10" t="n"/>
      <c r="F283" s="10" t="n"/>
      <c r="G283" s="10" t="n"/>
      <c r="H283" s="10" t="n"/>
      <c r="I283" s="10" t="n"/>
    </row>
    <row r="284">
      <c r="A284" s="12" t="n"/>
      <c r="B284" s="10" t="n"/>
      <c r="C284" s="10" t="n"/>
      <c r="D284" s="10" t="n"/>
      <c r="E284" s="10" t="n"/>
      <c r="F284" s="10" t="n"/>
      <c r="G284" s="10" t="n"/>
      <c r="H284" s="10" t="n"/>
      <c r="I284" s="10" t="n"/>
    </row>
    <row r="285">
      <c r="A285" s="12" t="n"/>
      <c r="B285" s="10" t="n"/>
      <c r="C285" s="10" t="n"/>
      <c r="D285" s="10" t="n"/>
      <c r="E285" s="10" t="n"/>
      <c r="F285" s="10" t="n"/>
      <c r="G285" s="10" t="n"/>
      <c r="H285" s="10" t="n"/>
      <c r="I285" s="10" t="n"/>
    </row>
    <row r="286">
      <c r="A286" s="12" t="n"/>
      <c r="B286" s="10" t="n"/>
      <c r="C286" s="10" t="n"/>
      <c r="D286" s="10" t="n"/>
      <c r="E286" s="10" t="n"/>
      <c r="F286" s="10" t="n"/>
      <c r="G286" s="10" t="n"/>
      <c r="H286" s="10" t="n"/>
      <c r="I286" s="10" t="n"/>
    </row>
    <row r="287">
      <c r="A287" s="12" t="n"/>
      <c r="B287" s="10" t="n"/>
      <c r="C287" s="10" t="n"/>
      <c r="D287" s="10" t="n"/>
      <c r="E287" s="10" t="n"/>
      <c r="F287" s="10" t="n"/>
      <c r="G287" s="10" t="n"/>
      <c r="H287" s="10" t="n"/>
      <c r="I287" s="10" t="n"/>
    </row>
    <row r="288">
      <c r="A288" s="12" t="n"/>
      <c r="B288" s="10" t="n"/>
      <c r="C288" s="10" t="n"/>
      <c r="D288" s="10" t="n"/>
      <c r="E288" s="10" t="n"/>
      <c r="F288" s="10" t="n"/>
      <c r="G288" s="10" t="n"/>
      <c r="H288" s="10" t="n"/>
      <c r="I288" s="10" t="n"/>
    </row>
    <row r="289">
      <c r="A289" s="12" t="n"/>
      <c r="B289" s="10" t="n"/>
      <c r="C289" s="10" t="n"/>
      <c r="D289" s="10" t="n"/>
      <c r="E289" s="10" t="n"/>
      <c r="F289" s="10" t="n"/>
      <c r="G289" s="10" t="n"/>
      <c r="H289" s="10" t="n"/>
      <c r="I289" s="10" t="n"/>
    </row>
    <row r="290">
      <c r="A290" s="12" t="n"/>
      <c r="B290" s="10" t="n"/>
      <c r="C290" s="10" t="n"/>
      <c r="D290" s="10" t="n"/>
      <c r="E290" s="10" t="n"/>
      <c r="F290" s="10" t="n"/>
      <c r="G290" s="10" t="n"/>
      <c r="H290" s="10" t="n"/>
      <c r="I290" s="10" t="n"/>
    </row>
    <row r="291">
      <c r="A291" s="12" t="n"/>
      <c r="B291" s="10" t="n"/>
      <c r="C291" s="10" t="n"/>
      <c r="D291" s="10" t="n"/>
      <c r="E291" s="10" t="n"/>
      <c r="F291" s="10" t="n"/>
      <c r="G291" s="10" t="n"/>
      <c r="H291" s="10" t="n"/>
      <c r="I291" s="10" t="n"/>
    </row>
    <row r="292">
      <c r="A292" s="12" t="n"/>
      <c r="B292" s="10" t="n"/>
      <c r="C292" s="10" t="n"/>
      <c r="D292" s="10" t="n"/>
      <c r="E292" s="10" t="n"/>
      <c r="F292" s="10" t="n"/>
      <c r="G292" s="10" t="n"/>
      <c r="H292" s="10" t="n"/>
      <c r="I292" s="10" t="n"/>
    </row>
    <row r="293">
      <c r="A293" s="12" t="n"/>
      <c r="B293" s="10" t="n"/>
      <c r="C293" s="10" t="n"/>
      <c r="D293" s="10" t="n"/>
      <c r="E293" s="10" t="n"/>
      <c r="F293" s="10" t="n"/>
      <c r="G293" s="10" t="n"/>
      <c r="H293" s="10" t="n"/>
      <c r="I293" s="10" t="n"/>
    </row>
    <row r="294">
      <c r="A294" s="12" t="n"/>
      <c r="B294" s="10" t="n"/>
      <c r="C294" s="10" t="n"/>
      <c r="D294" s="10" t="n"/>
      <c r="E294" s="10" t="n"/>
      <c r="F294" s="10" t="n"/>
      <c r="G294" s="10" t="n"/>
      <c r="H294" s="10" t="n"/>
      <c r="I294" s="10" t="n"/>
    </row>
    <row r="295">
      <c r="A295" s="12" t="n"/>
      <c r="B295" s="10" t="n"/>
      <c r="C295" s="10" t="n"/>
      <c r="D295" s="10" t="n"/>
      <c r="E295" s="10" t="n"/>
      <c r="F295" s="10" t="n"/>
      <c r="G295" s="10" t="n"/>
      <c r="H295" s="10" t="n"/>
      <c r="I295" s="10" t="n"/>
    </row>
    <row r="296">
      <c r="A296" s="12" t="n"/>
      <c r="B296" s="10" t="n"/>
      <c r="C296" s="10" t="n"/>
      <c r="D296" s="10" t="n"/>
      <c r="E296" s="10" t="n"/>
      <c r="F296" s="10" t="n"/>
      <c r="G296" s="10" t="n"/>
      <c r="H296" s="10" t="n"/>
      <c r="I296" s="10" t="n"/>
    </row>
    <row r="297">
      <c r="A297" s="12" t="n"/>
      <c r="B297" s="10" t="n"/>
      <c r="C297" s="10" t="n"/>
      <c r="D297" s="10" t="n"/>
      <c r="E297" s="10" t="n"/>
      <c r="F297" s="10" t="n"/>
      <c r="G297" s="10" t="n"/>
      <c r="H297" s="10" t="n"/>
      <c r="I297" s="10" t="n"/>
    </row>
    <row r="298">
      <c r="A298" s="12" t="n"/>
      <c r="B298" s="10" t="n"/>
      <c r="C298" s="10" t="n"/>
      <c r="D298" s="10" t="n"/>
      <c r="E298" s="10" t="n"/>
      <c r="F298" s="10" t="n"/>
      <c r="G298" s="10" t="n"/>
      <c r="H298" s="10" t="n"/>
      <c r="I298" s="10" t="n"/>
    </row>
    <row r="299">
      <c r="A299" s="12" t="n"/>
      <c r="B299" s="10" t="n"/>
      <c r="C299" s="10" t="n"/>
      <c r="D299" s="10" t="n"/>
      <c r="E299" s="10" t="n"/>
      <c r="F299" s="10" t="n"/>
      <c r="G299" s="10" t="n"/>
      <c r="H299" s="10" t="n"/>
      <c r="I299" s="10" t="n"/>
    </row>
    <row r="300">
      <c r="A300" s="12" t="n"/>
      <c r="B300" s="10" t="n"/>
      <c r="C300" s="10" t="n"/>
      <c r="D300" s="10" t="n"/>
      <c r="E300" s="10" t="n"/>
      <c r="F300" s="10" t="n"/>
      <c r="G300" s="10" t="n"/>
      <c r="H300" s="10" t="n"/>
      <c r="I300" s="10" t="n"/>
    </row>
    <row r="301">
      <c r="A301" s="12" t="n"/>
      <c r="B301" s="10" t="n"/>
      <c r="C301" s="10" t="n"/>
      <c r="D301" s="10" t="n"/>
      <c r="E301" s="10" t="n"/>
      <c r="F301" s="10" t="n"/>
      <c r="G301" s="10" t="n"/>
      <c r="H301" s="10" t="n"/>
      <c r="I301" s="10" t="n"/>
    </row>
    <row r="302">
      <c r="A302" s="12" t="n"/>
      <c r="B302" s="10" t="n"/>
      <c r="C302" s="10" t="n"/>
      <c r="D302" s="10" t="n"/>
      <c r="E302" s="10" t="n"/>
      <c r="F302" s="10" t="n"/>
      <c r="G302" s="10" t="n"/>
      <c r="H302" s="10" t="n"/>
      <c r="I302" s="10" t="n"/>
    </row>
    <row r="303">
      <c r="A303" s="12" t="n"/>
      <c r="B303" s="10" t="n"/>
      <c r="C303" s="10" t="n"/>
      <c r="D303" s="10" t="n"/>
      <c r="E303" s="10" t="n"/>
      <c r="F303" s="10" t="n"/>
      <c r="G303" s="10" t="n"/>
      <c r="H303" s="10" t="n"/>
      <c r="I303" s="10" t="n"/>
    </row>
    <row r="304">
      <c r="A304" s="12" t="n"/>
      <c r="B304" s="10" t="n"/>
      <c r="C304" s="10" t="n"/>
      <c r="D304" s="10" t="n"/>
      <c r="E304" s="10" t="n"/>
      <c r="F304" s="10" t="n"/>
      <c r="G304" s="10" t="n"/>
      <c r="H304" s="10" t="n"/>
      <c r="I304" s="10" t="n"/>
    </row>
    <row r="305">
      <c r="A305" s="12" t="n"/>
      <c r="B305" s="10" t="n"/>
      <c r="C305" s="10" t="n"/>
      <c r="D305" s="10" t="n"/>
      <c r="E305" s="10" t="n"/>
      <c r="F305" s="10" t="n"/>
      <c r="G305" s="10" t="n"/>
      <c r="H305" s="10" t="n"/>
      <c r="I305" s="10" t="n"/>
    </row>
    <row r="306">
      <c r="A306" s="12" t="n"/>
      <c r="B306" s="10" t="n"/>
      <c r="C306" s="10" t="n"/>
      <c r="D306" s="10" t="n"/>
      <c r="E306" s="10" t="n"/>
      <c r="F306" s="10" t="n"/>
      <c r="G306" s="10" t="n"/>
      <c r="H306" s="10" t="n"/>
      <c r="I306" s="10" t="n"/>
    </row>
    <row r="307">
      <c r="A307" s="12" t="n"/>
      <c r="B307" s="10" t="n"/>
      <c r="C307" s="10" t="n"/>
      <c r="D307" s="10" t="n"/>
      <c r="E307" s="10" t="n"/>
      <c r="F307" s="10" t="n"/>
      <c r="G307" s="10" t="n"/>
      <c r="H307" s="10" t="n"/>
      <c r="I307" s="10" t="n"/>
    </row>
    <row r="308">
      <c r="A308" s="12" t="n"/>
      <c r="B308" s="10" t="n"/>
      <c r="C308" s="10" t="n"/>
      <c r="D308" s="10" t="n"/>
      <c r="E308" s="10" t="n"/>
      <c r="F308" s="10" t="n"/>
      <c r="G308" s="10" t="n"/>
      <c r="H308" s="10" t="n"/>
      <c r="I308" s="10" t="n"/>
    </row>
    <row r="309">
      <c r="A309" s="12" t="n"/>
      <c r="B309" s="10" t="n"/>
      <c r="C309" s="10" t="n"/>
      <c r="D309" s="10" t="n"/>
      <c r="E309" s="10" t="n"/>
      <c r="F309" s="10" t="n"/>
      <c r="G309" s="10" t="n"/>
      <c r="H309" s="10" t="n"/>
      <c r="I309" s="10" t="n"/>
    </row>
    <row r="310">
      <c r="A310" s="12" t="n"/>
      <c r="B310" s="10" t="n"/>
      <c r="C310" s="10" t="n"/>
      <c r="D310" s="10" t="n"/>
      <c r="E310" s="10" t="n"/>
      <c r="F310" s="10" t="n"/>
      <c r="G310" s="10" t="n"/>
      <c r="H310" s="10" t="n"/>
      <c r="I310" s="10" t="n"/>
    </row>
    <row r="311">
      <c r="A311" s="12" t="n"/>
      <c r="B311" s="10" t="n"/>
      <c r="C311" s="10" t="n"/>
      <c r="D311" s="10" t="n"/>
      <c r="E311" s="10" t="n"/>
      <c r="F311" s="10" t="n"/>
      <c r="G311" s="10" t="n"/>
      <c r="H311" s="10" t="n"/>
      <c r="I311" s="10" t="n"/>
    </row>
    <row r="312">
      <c r="A312" s="12" t="n"/>
      <c r="B312" s="10" t="n"/>
      <c r="C312" s="10" t="n"/>
      <c r="D312" s="10" t="n"/>
      <c r="E312" s="10" t="n"/>
      <c r="F312" s="10" t="n"/>
      <c r="G312" s="10" t="n"/>
      <c r="H312" s="10" t="n"/>
      <c r="I312" s="10" t="n"/>
    </row>
    <row r="313">
      <c r="A313" s="12" t="n"/>
      <c r="B313" s="10" t="n"/>
      <c r="C313" s="10" t="n"/>
      <c r="D313" s="10" t="n"/>
      <c r="E313" s="10" t="n"/>
      <c r="F313" s="10" t="n"/>
      <c r="G313" s="10" t="n"/>
      <c r="H313" s="10" t="n"/>
      <c r="I313" s="10" t="n"/>
    </row>
    <row r="314">
      <c r="A314" s="12" t="n"/>
      <c r="B314" s="10" t="n"/>
      <c r="C314" s="10" t="n"/>
      <c r="D314" s="10" t="n"/>
      <c r="E314" s="10" t="n"/>
      <c r="F314" s="10" t="n"/>
      <c r="G314" s="10" t="n"/>
      <c r="H314" s="10" t="n"/>
      <c r="I314" s="10" t="n"/>
    </row>
    <row r="315">
      <c r="A315" s="12" t="n"/>
      <c r="B315" s="10" t="n"/>
      <c r="C315" s="10" t="n"/>
      <c r="D315" s="10" t="n"/>
      <c r="E315" s="10" t="n"/>
      <c r="F315" s="10" t="n"/>
      <c r="G315" s="10" t="n"/>
      <c r="H315" s="10" t="n"/>
      <c r="I315" s="10" t="n"/>
    </row>
    <row r="316">
      <c r="A316" s="12" t="n"/>
      <c r="B316" s="10" t="n"/>
      <c r="C316" s="10" t="n"/>
      <c r="D316" s="10" t="n"/>
      <c r="E316" s="10" t="n"/>
      <c r="F316" s="10" t="n"/>
      <c r="G316" s="10" t="n"/>
      <c r="H316" s="10" t="n"/>
      <c r="I316" s="10" t="n"/>
    </row>
    <row r="317">
      <c r="A317" s="12" t="n"/>
      <c r="B317" s="10" t="n"/>
      <c r="C317" s="10" t="n"/>
      <c r="D317" s="10" t="n"/>
      <c r="E317" s="10" t="n"/>
      <c r="F317" s="10" t="n"/>
      <c r="G317" s="10" t="n"/>
      <c r="H317" s="10" t="n"/>
      <c r="I317" s="10" t="n"/>
    </row>
    <row r="318">
      <c r="A318" s="12" t="n"/>
      <c r="B318" s="10" t="n"/>
      <c r="C318" s="10" t="n"/>
      <c r="D318" s="10" t="n"/>
      <c r="E318" s="10" t="n"/>
      <c r="F318" s="10" t="n"/>
      <c r="G318" s="10" t="n"/>
      <c r="H318" s="10" t="n"/>
      <c r="I318" s="10" t="n"/>
    </row>
    <row r="319">
      <c r="A319" s="12" t="n"/>
      <c r="B319" s="10" t="n"/>
      <c r="C319" s="10" t="n"/>
      <c r="D319" s="10" t="n"/>
      <c r="E319" s="10" t="n"/>
      <c r="F319" s="10" t="n"/>
      <c r="G319" s="10" t="n"/>
      <c r="H319" s="10" t="n"/>
      <c r="I319" s="10" t="n"/>
    </row>
    <row r="320">
      <c r="A320" s="12" t="n"/>
      <c r="B320" s="10" t="n"/>
      <c r="C320" s="10" t="n"/>
      <c r="D320" s="10" t="n"/>
      <c r="E320" s="10" t="n"/>
      <c r="F320" s="10" t="n"/>
      <c r="G320" s="10" t="n"/>
      <c r="H320" s="10" t="n"/>
      <c r="I320" s="10" t="n"/>
    </row>
    <row r="321">
      <c r="A321" s="12" t="n"/>
      <c r="B321" s="10" t="n"/>
      <c r="C321" s="10" t="n"/>
      <c r="D321" s="10" t="n"/>
      <c r="E321" s="10" t="n"/>
      <c r="F321" s="10" t="n"/>
      <c r="G321" s="10" t="n"/>
      <c r="H321" s="10" t="n"/>
      <c r="I321" s="10" t="n"/>
    </row>
    <row r="322">
      <c r="A322" s="12" t="n"/>
      <c r="B322" s="10" t="n"/>
      <c r="C322" s="10" t="n"/>
      <c r="D322" s="10" t="n"/>
      <c r="E322" s="10" t="n"/>
      <c r="F322" s="10" t="n"/>
      <c r="G322" s="10" t="n"/>
      <c r="H322" s="10" t="n"/>
      <c r="I322" s="10" t="n"/>
    </row>
    <row r="323">
      <c r="A323" s="12" t="n"/>
      <c r="B323" s="10" t="n"/>
      <c r="C323" s="10" t="n"/>
      <c r="D323" s="10" t="n"/>
      <c r="E323" s="10" t="n"/>
      <c r="F323" s="10" t="n"/>
      <c r="G323" s="10" t="n"/>
      <c r="H323" s="10" t="n"/>
      <c r="I323" s="10" t="n"/>
    </row>
    <row r="324">
      <c r="A324" s="12" t="n"/>
      <c r="B324" s="10" t="n"/>
      <c r="C324" s="10" t="n"/>
      <c r="D324" s="10" t="n"/>
      <c r="E324" s="10" t="n"/>
      <c r="F324" s="10" t="n"/>
      <c r="G324" s="10" t="n"/>
      <c r="H324" s="10" t="n"/>
      <c r="I324" s="10" t="n"/>
    </row>
    <row r="325">
      <c r="A325" s="12" t="n"/>
      <c r="B325" s="10" t="n"/>
      <c r="C325" s="10" t="n"/>
      <c r="D325" s="10" t="n"/>
      <c r="E325" s="10" t="n"/>
      <c r="F325" s="10" t="n"/>
      <c r="G325" s="10" t="n"/>
      <c r="H325" s="10" t="n"/>
      <c r="I325" s="10" t="n"/>
    </row>
    <row r="326">
      <c r="A326" s="12" t="n"/>
      <c r="B326" s="10" t="n"/>
      <c r="C326" s="10" t="n"/>
      <c r="D326" s="10" t="n"/>
      <c r="E326" s="10" t="n"/>
      <c r="F326" s="10" t="n"/>
      <c r="G326" s="10" t="n"/>
      <c r="H326" s="10" t="n"/>
      <c r="I326" s="10" t="n"/>
    </row>
    <row r="327">
      <c r="A327" s="12" t="n"/>
      <c r="B327" s="10" t="n"/>
      <c r="C327" s="10" t="n"/>
      <c r="D327" s="10" t="n"/>
      <c r="E327" s="10" t="n"/>
      <c r="F327" s="10" t="n"/>
      <c r="G327" s="10" t="n"/>
      <c r="H327" s="10" t="n"/>
      <c r="I327" s="10" t="n"/>
    </row>
    <row r="328">
      <c r="A328" s="12" t="n"/>
      <c r="B328" s="10" t="n"/>
      <c r="C328" s="10" t="n"/>
      <c r="D328" s="10" t="n"/>
      <c r="E328" s="10" t="n"/>
      <c r="F328" s="10" t="n"/>
      <c r="G328" s="10" t="n"/>
      <c r="H328" s="10" t="n"/>
      <c r="I328" s="10" t="n"/>
    </row>
    <row r="329">
      <c r="A329" s="12" t="n"/>
      <c r="B329" s="10" t="n"/>
      <c r="C329" s="10" t="n"/>
      <c r="D329" s="10" t="n"/>
      <c r="E329" s="10" t="n"/>
      <c r="F329" s="10" t="n"/>
      <c r="G329" s="10" t="n"/>
      <c r="H329" s="10" t="n"/>
      <c r="I329" s="10" t="n"/>
    </row>
    <row r="330">
      <c r="A330" s="12" t="n"/>
      <c r="B330" s="10" t="n"/>
      <c r="C330" s="10" t="n"/>
      <c r="D330" s="10" t="n"/>
      <c r="E330" s="10" t="n"/>
      <c r="F330" s="10" t="n"/>
      <c r="G330" s="10" t="n"/>
      <c r="H330" s="10" t="n"/>
      <c r="I330" s="10" t="n"/>
    </row>
    <row r="331">
      <c r="A331" s="12" t="n"/>
      <c r="B331" s="10" t="n"/>
      <c r="C331" s="10" t="n"/>
      <c r="D331" s="10" t="n"/>
      <c r="E331" s="10" t="n"/>
      <c r="F331" s="10" t="n"/>
      <c r="G331" s="10" t="n"/>
      <c r="H331" s="10" t="n"/>
      <c r="I331" s="10" t="n"/>
    </row>
    <row r="332">
      <c r="A332" s="12" t="n"/>
      <c r="B332" s="10" t="n"/>
      <c r="C332" s="10" t="n"/>
      <c r="D332" s="10" t="n"/>
      <c r="E332" s="10" t="n"/>
      <c r="F332" s="10" t="n"/>
      <c r="G332" s="10" t="n"/>
      <c r="H332" s="10" t="n"/>
      <c r="I332" s="10" t="n"/>
    </row>
    <row r="333">
      <c r="A333" s="12" t="n"/>
      <c r="B333" s="10" t="n"/>
      <c r="C333" s="10" t="n"/>
      <c r="D333" s="10" t="n"/>
      <c r="E333" s="10" t="n"/>
      <c r="F333" s="10" t="n"/>
      <c r="G333" s="10" t="n"/>
      <c r="H333" s="10" t="n"/>
      <c r="I333" s="10" t="n"/>
    </row>
    <row r="334">
      <c r="A334" s="12" t="n"/>
      <c r="B334" s="10" t="n"/>
      <c r="C334" s="10" t="n"/>
      <c r="D334" s="10" t="n"/>
      <c r="E334" s="10" t="n"/>
      <c r="F334" s="10" t="n"/>
      <c r="G334" s="10" t="n"/>
      <c r="H334" s="10" t="n"/>
      <c r="I334" s="10" t="n"/>
    </row>
    <row r="335">
      <c r="A335" s="12" t="n"/>
      <c r="B335" s="10" t="n"/>
      <c r="C335" s="10" t="n"/>
      <c r="D335" s="10" t="n"/>
      <c r="E335" s="10" t="n"/>
      <c r="F335" s="10" t="n"/>
      <c r="G335" s="10" t="n"/>
      <c r="H335" s="10" t="n"/>
      <c r="I335" s="10" t="n"/>
    </row>
    <row r="336">
      <c r="A336" s="12" t="n"/>
      <c r="B336" s="10" t="n"/>
      <c r="C336" s="10" t="n"/>
      <c r="D336" s="10" t="n"/>
      <c r="E336" s="10" t="n"/>
      <c r="F336" s="10" t="n"/>
      <c r="G336" s="10" t="n"/>
      <c r="H336" s="10" t="n"/>
      <c r="I336" s="10" t="n"/>
    </row>
    <row r="337">
      <c r="A337" s="12" t="n"/>
      <c r="B337" s="10" t="n"/>
      <c r="C337" s="10" t="n"/>
      <c r="D337" s="10" t="n"/>
      <c r="E337" s="10" t="n"/>
      <c r="F337" s="10" t="n"/>
      <c r="G337" s="10" t="n"/>
      <c r="H337" s="10" t="n"/>
      <c r="I337" s="10" t="n"/>
    </row>
    <row r="338">
      <c r="A338" s="12" t="n"/>
      <c r="B338" s="10" t="n"/>
      <c r="C338" s="10" t="n"/>
      <c r="D338" s="10" t="n"/>
      <c r="E338" s="10" t="n"/>
      <c r="F338" s="10" t="n"/>
      <c r="G338" s="10" t="n"/>
      <c r="H338" s="10" t="n"/>
      <c r="I338" s="10" t="n"/>
    </row>
    <row r="339">
      <c r="A339" s="12" t="n"/>
      <c r="B339" s="10" t="n"/>
      <c r="C339" s="10" t="n"/>
      <c r="D339" s="10" t="n"/>
      <c r="E339" s="10" t="n"/>
      <c r="F339" s="10" t="n"/>
      <c r="G339" s="10" t="n"/>
      <c r="H339" s="10" t="n"/>
      <c r="I339" s="10" t="n"/>
    </row>
    <row r="340">
      <c r="A340" s="12" t="n"/>
      <c r="B340" s="10" t="n"/>
      <c r="C340" s="10" t="n"/>
      <c r="D340" s="10" t="n"/>
      <c r="E340" s="10" t="n"/>
      <c r="F340" s="10" t="n"/>
      <c r="G340" s="10" t="n"/>
      <c r="H340" s="10" t="n"/>
      <c r="I340" s="10" t="n"/>
    </row>
    <row r="341">
      <c r="A341" s="12" t="n"/>
      <c r="B341" s="10" t="n"/>
      <c r="C341" s="10" t="n"/>
      <c r="D341" s="10" t="n"/>
      <c r="E341" s="10" t="n"/>
      <c r="F341" s="10" t="n"/>
      <c r="G341" s="10" t="n"/>
      <c r="H341" s="10" t="n"/>
      <c r="I341" s="10" t="n"/>
    </row>
    <row r="342">
      <c r="A342" s="12" t="n"/>
      <c r="B342" s="10" t="n"/>
      <c r="C342" s="10" t="n"/>
      <c r="D342" s="10" t="n"/>
      <c r="E342" s="10" t="n"/>
      <c r="F342" s="10" t="n"/>
      <c r="G342" s="10" t="n"/>
      <c r="H342" s="10" t="n"/>
      <c r="I342" s="10" t="n"/>
    </row>
    <row r="343">
      <c r="A343" s="12" t="n"/>
      <c r="B343" s="10" t="n"/>
      <c r="C343" s="10" t="n"/>
      <c r="D343" s="10" t="n"/>
      <c r="E343" s="10" t="n"/>
      <c r="F343" s="10" t="n"/>
      <c r="G343" s="10" t="n"/>
      <c r="H343" s="10" t="n"/>
      <c r="I343" s="10" t="n"/>
    </row>
    <row r="344">
      <c r="A344" s="12" t="n"/>
      <c r="B344" s="10" t="n"/>
      <c r="C344" s="10" t="n"/>
      <c r="D344" s="10" t="n"/>
      <c r="E344" s="10" t="n"/>
      <c r="F344" s="10" t="n"/>
      <c r="G344" s="10" t="n"/>
      <c r="H344" s="10" t="n"/>
      <c r="I344" s="10" t="n"/>
    </row>
    <row r="345">
      <c r="A345" s="12" t="n"/>
      <c r="B345" s="10" t="n"/>
      <c r="C345" s="10" t="n"/>
      <c r="D345" s="10" t="n"/>
      <c r="E345" s="10" t="n"/>
      <c r="F345" s="10" t="n"/>
      <c r="G345" s="10" t="n"/>
      <c r="H345" s="10" t="n"/>
      <c r="I345" s="10" t="n"/>
    </row>
    <row r="346">
      <c r="A346" s="12" t="n"/>
      <c r="B346" s="10" t="n"/>
      <c r="C346" s="10" t="n"/>
      <c r="D346" s="10" t="n"/>
      <c r="E346" s="10" t="n"/>
      <c r="F346" s="10" t="n"/>
      <c r="G346" s="10" t="n"/>
      <c r="H346" s="10" t="n"/>
      <c r="I346" s="10" t="n"/>
    </row>
    <row r="347">
      <c r="A347" s="12" t="n"/>
      <c r="B347" s="10" t="n"/>
      <c r="C347" s="10" t="n"/>
      <c r="D347" s="10" t="n"/>
      <c r="E347" s="10" t="n"/>
      <c r="F347" s="10" t="n"/>
      <c r="G347" s="10" t="n"/>
      <c r="H347" s="10" t="n"/>
      <c r="I347" s="10" t="n"/>
    </row>
    <row r="348">
      <c r="A348" s="12" t="n"/>
      <c r="B348" s="10" t="n"/>
      <c r="C348" s="10" t="n"/>
      <c r="D348" s="10" t="n"/>
      <c r="E348" s="10" t="n"/>
      <c r="F348" s="10" t="n"/>
      <c r="G348" s="10" t="n"/>
      <c r="H348" s="10" t="n"/>
      <c r="I348" s="10" t="n"/>
    </row>
    <row r="349">
      <c r="A349" s="12" t="n"/>
      <c r="B349" s="10" t="n"/>
      <c r="C349" s="10" t="n"/>
      <c r="D349" s="10" t="n"/>
      <c r="E349" s="10" t="n"/>
      <c r="F349" s="10" t="n"/>
      <c r="G349" s="10" t="n"/>
      <c r="H349" s="10" t="n"/>
      <c r="I349" s="10" t="n"/>
    </row>
    <row r="350">
      <c r="A350" s="12" t="n"/>
      <c r="B350" s="10" t="n"/>
      <c r="C350" s="10" t="n"/>
      <c r="D350" s="10" t="n"/>
      <c r="E350" s="10" t="n"/>
      <c r="F350" s="10" t="n"/>
      <c r="G350" s="10" t="n"/>
      <c r="H350" s="10" t="n"/>
      <c r="I350" s="10" t="n"/>
    </row>
    <row r="351">
      <c r="A351" s="12" t="n"/>
      <c r="B351" s="10" t="n"/>
      <c r="C351" s="10" t="n"/>
      <c r="D351" s="10" t="n"/>
      <c r="E351" s="10" t="n"/>
      <c r="F351" s="10" t="n"/>
      <c r="G351" s="10" t="n"/>
      <c r="H351" s="10" t="n"/>
      <c r="I351" s="10" t="n"/>
    </row>
    <row r="352">
      <c r="A352" s="12" t="n"/>
      <c r="B352" s="10" t="n"/>
      <c r="C352" s="10" t="n"/>
      <c r="D352" s="10" t="n"/>
      <c r="E352" s="10" t="n"/>
      <c r="F352" s="10" t="n"/>
      <c r="G352" s="10" t="n"/>
      <c r="H352" s="10" t="n"/>
      <c r="I352" s="10" t="n"/>
    </row>
    <row r="353">
      <c r="A353" s="12" t="n"/>
      <c r="B353" s="10" t="n"/>
      <c r="C353" s="10" t="n"/>
      <c r="D353" s="10" t="n"/>
      <c r="E353" s="10" t="n"/>
      <c r="F353" s="10" t="n"/>
      <c r="G353" s="10" t="n"/>
      <c r="H353" s="10" t="n"/>
      <c r="I353" s="10" t="n"/>
    </row>
    <row r="354">
      <c r="A354" s="12" t="n"/>
      <c r="B354" s="10" t="n"/>
      <c r="C354" s="10" t="n"/>
      <c r="D354" s="10" t="n"/>
      <c r="E354" s="10" t="n"/>
      <c r="F354" s="10" t="n"/>
      <c r="G354" s="10" t="n"/>
      <c r="H354" s="10" t="n"/>
      <c r="I354" s="10" t="n"/>
    </row>
    <row r="355">
      <c r="A355" s="12" t="n"/>
      <c r="B355" s="10" t="n"/>
      <c r="C355" s="10" t="n"/>
      <c r="D355" s="10" t="n"/>
      <c r="E355" s="10" t="n"/>
      <c r="F355" s="10" t="n"/>
      <c r="G355" s="10" t="n"/>
      <c r="H355" s="10" t="n"/>
      <c r="I355" s="10" t="n"/>
    </row>
    <row r="356">
      <c r="A356" s="12" t="n"/>
      <c r="B356" s="10" t="n"/>
      <c r="C356" s="10" t="n"/>
      <c r="D356" s="10" t="n"/>
      <c r="E356" s="10" t="n"/>
      <c r="F356" s="10" t="n"/>
      <c r="G356" s="10" t="n"/>
      <c r="H356" s="10" t="n"/>
      <c r="I356" s="10" t="n"/>
    </row>
    <row r="357">
      <c r="A357" s="12" t="n"/>
      <c r="B357" s="10" t="n"/>
      <c r="C357" s="10" t="n"/>
      <c r="D357" s="10" t="n"/>
      <c r="E357" s="10" t="n"/>
      <c r="F357" s="10" t="n"/>
      <c r="G357" s="10" t="n"/>
      <c r="H357" s="10" t="n"/>
      <c r="I357" s="10" t="n"/>
    </row>
    <row r="358">
      <c r="A358" s="12" t="n"/>
      <c r="B358" s="10" t="n"/>
      <c r="C358" s="10" t="n"/>
      <c r="D358" s="10" t="n"/>
      <c r="E358" s="10" t="n"/>
      <c r="F358" s="10" t="n"/>
      <c r="G358" s="10" t="n"/>
      <c r="H358" s="10" t="n"/>
      <c r="I358" s="10" t="n"/>
    </row>
    <row r="359">
      <c r="A359" s="12" t="n"/>
      <c r="B359" s="10" t="n"/>
      <c r="C359" s="10" t="n"/>
      <c r="D359" s="10" t="n"/>
      <c r="E359" s="10" t="n"/>
      <c r="F359" s="10" t="n"/>
      <c r="G359" s="10" t="n"/>
      <c r="H359" s="10" t="n"/>
      <c r="I359" s="10" t="n"/>
    </row>
    <row r="360">
      <c r="A360" s="12" t="n"/>
      <c r="B360" s="10" t="n"/>
      <c r="C360" s="10" t="n"/>
      <c r="D360" s="10" t="n"/>
      <c r="E360" s="10" t="n"/>
      <c r="F360" s="10" t="n"/>
      <c r="G360" s="10" t="n"/>
      <c r="H360" s="10" t="n"/>
      <c r="I360" s="10" t="n"/>
    </row>
    <row r="361">
      <c r="A361" s="12" t="n"/>
      <c r="B361" s="10" t="n"/>
      <c r="C361" s="10" t="n"/>
      <c r="D361" s="10" t="n"/>
      <c r="E361" s="10" t="n"/>
      <c r="F361" s="10" t="n"/>
      <c r="G361" s="10" t="n"/>
      <c r="H361" s="10" t="n"/>
      <c r="I361" s="10" t="n"/>
    </row>
    <row r="362">
      <c r="A362" s="12" t="n"/>
      <c r="B362" s="10" t="n"/>
      <c r="C362" s="10" t="n"/>
      <c r="D362" s="10" t="n"/>
      <c r="E362" s="10" t="n"/>
      <c r="F362" s="10" t="n"/>
      <c r="G362" s="10" t="n"/>
      <c r="H362" s="10" t="n"/>
      <c r="I362" s="10" t="n"/>
    </row>
    <row r="363">
      <c r="A363" s="12" t="n"/>
      <c r="B363" s="10" t="n"/>
      <c r="C363" s="10" t="n"/>
      <c r="D363" s="10" t="n"/>
      <c r="E363" s="10" t="n"/>
      <c r="F363" s="10" t="n"/>
      <c r="G363" s="10" t="n"/>
      <c r="H363" s="10" t="n"/>
      <c r="I363" s="10" t="n"/>
    </row>
    <row r="364">
      <c r="A364" s="12" t="n"/>
      <c r="B364" s="10" t="n"/>
      <c r="C364" s="10" t="n"/>
      <c r="D364" s="10" t="n"/>
      <c r="E364" s="10" t="n"/>
      <c r="F364" s="10" t="n"/>
      <c r="G364" s="10" t="n"/>
      <c r="H364" s="10" t="n"/>
      <c r="I364" s="10" t="n"/>
    </row>
    <row r="365">
      <c r="A365" s="12" t="n"/>
      <c r="B365" s="10" t="n"/>
      <c r="C365" s="10" t="n"/>
      <c r="D365" s="10" t="n"/>
      <c r="E365" s="10" t="n"/>
      <c r="F365" s="10" t="n"/>
      <c r="G365" s="10" t="n"/>
      <c r="H365" s="10" t="n"/>
      <c r="I365" s="10" t="n"/>
    </row>
    <row r="366">
      <c r="A366" s="12" t="n"/>
      <c r="B366" s="10" t="n"/>
      <c r="C366" s="10" t="n"/>
      <c r="D366" s="10" t="n"/>
      <c r="E366" s="10" t="n"/>
      <c r="F366" s="10" t="n"/>
      <c r="G366" s="10" t="n"/>
      <c r="H366" s="10" t="n"/>
      <c r="I366" s="10" t="n"/>
    </row>
    <row r="367">
      <c r="A367" s="12" t="n"/>
      <c r="B367" s="10" t="n"/>
      <c r="C367" s="10" t="n"/>
      <c r="D367" s="10" t="n"/>
      <c r="E367" s="10" t="n"/>
      <c r="F367" s="10" t="n"/>
      <c r="G367" s="10" t="n"/>
      <c r="H367" s="10" t="n"/>
      <c r="I367" s="10" t="n"/>
    </row>
    <row r="368">
      <c r="A368" s="12" t="n"/>
      <c r="B368" s="10" t="n"/>
      <c r="C368" s="10" t="n"/>
      <c r="D368" s="10" t="n"/>
      <c r="E368" s="10" t="n"/>
      <c r="F368" s="10" t="n"/>
      <c r="G368" s="10" t="n"/>
      <c r="H368" s="10" t="n"/>
      <c r="I368" s="10" t="n"/>
    </row>
    <row r="369">
      <c r="A369" s="12" t="n"/>
      <c r="B369" s="10" t="n"/>
      <c r="C369" s="10" t="n"/>
      <c r="D369" s="10" t="n"/>
      <c r="E369" s="10" t="n"/>
      <c r="F369" s="10" t="n"/>
      <c r="G369" s="10" t="n"/>
      <c r="H369" s="10" t="n"/>
      <c r="I369" s="10" t="n"/>
    </row>
    <row r="370">
      <c r="A370" s="12" t="n"/>
      <c r="B370" s="10" t="n"/>
      <c r="C370" s="10" t="n"/>
      <c r="D370" s="10" t="n"/>
      <c r="E370" s="10" t="n"/>
      <c r="F370" s="10" t="n"/>
      <c r="G370" s="10" t="n"/>
      <c r="H370" s="10" t="n"/>
      <c r="I370" s="10" t="n"/>
    </row>
    <row r="371">
      <c r="A371" s="12" t="n"/>
      <c r="B371" s="10" t="n"/>
      <c r="C371" s="10" t="n"/>
      <c r="D371" s="10" t="n"/>
      <c r="E371" s="10" t="n"/>
      <c r="F371" s="10" t="n"/>
      <c r="G371" s="10" t="n"/>
      <c r="H371" s="10" t="n"/>
      <c r="I371" s="10" t="n"/>
    </row>
    <row r="372">
      <c r="A372" s="12" t="n"/>
      <c r="B372" s="10" t="n"/>
      <c r="C372" s="10" t="n"/>
      <c r="D372" s="10" t="n"/>
      <c r="E372" s="10" t="n"/>
      <c r="F372" s="10" t="n"/>
      <c r="G372" s="10" t="n"/>
      <c r="H372" s="10" t="n"/>
      <c r="I372" s="10" t="n"/>
    </row>
    <row r="373">
      <c r="A373" s="12" t="n"/>
      <c r="B373" s="10" t="n"/>
      <c r="C373" s="10" t="n"/>
      <c r="D373" s="10" t="n"/>
      <c r="E373" s="10" t="n"/>
      <c r="F373" s="10" t="n"/>
      <c r="G373" s="10" t="n"/>
      <c r="H373" s="10" t="n"/>
      <c r="I373" s="10" t="n"/>
    </row>
    <row r="374">
      <c r="A374" s="12" t="n"/>
      <c r="B374" s="10" t="n"/>
      <c r="C374" s="10" t="n"/>
      <c r="D374" s="10" t="n"/>
      <c r="E374" s="10" t="n"/>
      <c r="F374" s="10" t="n"/>
      <c r="G374" s="10" t="n"/>
      <c r="H374" s="10" t="n"/>
      <c r="I374" s="10" t="n"/>
    </row>
    <row r="375">
      <c r="A375" s="12" t="n"/>
      <c r="B375" s="10" t="n"/>
      <c r="C375" s="10" t="n"/>
      <c r="D375" s="10" t="n"/>
      <c r="E375" s="10" t="n"/>
      <c r="F375" s="10" t="n"/>
      <c r="G375" s="10" t="n"/>
      <c r="H375" s="10" t="n"/>
      <c r="I375" s="10" t="n"/>
    </row>
    <row r="376">
      <c r="A376" s="12" t="n"/>
      <c r="B376" s="10" t="n"/>
      <c r="C376" s="10" t="n"/>
      <c r="D376" s="10" t="n"/>
      <c r="E376" s="10" t="n"/>
      <c r="F376" s="10" t="n"/>
      <c r="G376" s="10" t="n"/>
      <c r="H376" s="10" t="n"/>
      <c r="I376" s="10" t="n"/>
    </row>
    <row r="377">
      <c r="A377" s="12" t="n"/>
      <c r="B377" s="10" t="n"/>
      <c r="C377" s="10" t="n"/>
      <c r="D377" s="10" t="n"/>
      <c r="E377" s="10" t="n"/>
      <c r="F377" s="10" t="n"/>
      <c r="G377" s="10" t="n"/>
      <c r="H377" s="10" t="n"/>
      <c r="I377" s="10" t="n"/>
    </row>
    <row r="378">
      <c r="A378" s="12" t="n"/>
      <c r="B378" s="10" t="n"/>
      <c r="C378" s="10" t="n"/>
      <c r="D378" s="10" t="n"/>
      <c r="E378" s="10" t="n"/>
      <c r="F378" s="10" t="n"/>
      <c r="G378" s="10" t="n"/>
      <c r="H378" s="10" t="n"/>
      <c r="I378" s="10" t="n"/>
    </row>
    <row r="379">
      <c r="A379" s="12" t="n"/>
      <c r="B379" s="10" t="n"/>
      <c r="C379" s="10" t="n"/>
      <c r="D379" s="10" t="n"/>
      <c r="E379" s="10" t="n"/>
      <c r="F379" s="10" t="n"/>
      <c r="G379" s="10" t="n"/>
      <c r="H379" s="10" t="n"/>
      <c r="I379" s="10" t="n"/>
    </row>
    <row r="380">
      <c r="A380" s="12" t="n"/>
      <c r="B380" s="10" t="n"/>
      <c r="C380" s="10" t="n"/>
      <c r="D380" s="10" t="n"/>
      <c r="E380" s="10" t="n"/>
      <c r="F380" s="10" t="n"/>
      <c r="G380" s="10" t="n"/>
      <c r="H380" s="10" t="n"/>
      <c r="I380" s="10" t="n"/>
    </row>
    <row r="381">
      <c r="A381" s="12" t="n"/>
      <c r="B381" s="10" t="n"/>
      <c r="C381" s="10" t="n"/>
      <c r="D381" s="10" t="n"/>
      <c r="E381" s="10" t="n"/>
      <c r="F381" s="10" t="n"/>
      <c r="G381" s="10" t="n"/>
      <c r="H381" s="10" t="n"/>
      <c r="I381" s="10" t="n"/>
    </row>
    <row r="382">
      <c r="A382" s="12" t="n"/>
      <c r="B382" s="10" t="n"/>
      <c r="C382" s="10" t="n"/>
      <c r="D382" s="10" t="n"/>
      <c r="E382" s="10" t="n"/>
      <c r="F382" s="10" t="n"/>
      <c r="G382" s="10" t="n"/>
      <c r="H382" s="10" t="n"/>
      <c r="I382" s="10" t="n"/>
    </row>
    <row r="383">
      <c r="A383" s="12" t="n"/>
      <c r="B383" s="10" t="n"/>
      <c r="C383" s="10" t="n"/>
      <c r="D383" s="10" t="n"/>
      <c r="E383" s="10" t="n"/>
      <c r="F383" s="10" t="n"/>
      <c r="G383" s="10" t="n"/>
      <c r="H383" s="10" t="n"/>
      <c r="I383" s="10" t="n"/>
    </row>
    <row r="384">
      <c r="A384" s="12" t="n"/>
      <c r="B384" s="10" t="n"/>
      <c r="C384" s="10" t="n"/>
      <c r="D384" s="10" t="n"/>
      <c r="E384" s="10" t="n"/>
      <c r="F384" s="10" t="n"/>
      <c r="G384" s="10" t="n"/>
      <c r="H384" s="10" t="n"/>
      <c r="I384" s="10" t="n"/>
    </row>
    <row r="385">
      <c r="A385" s="12" t="n"/>
      <c r="B385" s="10" t="n"/>
      <c r="C385" s="10" t="n"/>
      <c r="D385" s="10" t="n"/>
      <c r="E385" s="10" t="n"/>
      <c r="F385" s="10" t="n"/>
      <c r="G385" s="10" t="n"/>
      <c r="H385" s="10" t="n"/>
      <c r="I385" s="10" t="n"/>
    </row>
    <row r="386">
      <c r="A386" s="12" t="n"/>
      <c r="B386" s="10" t="n"/>
      <c r="C386" s="10" t="n"/>
      <c r="D386" s="10" t="n"/>
      <c r="E386" s="10" t="n"/>
      <c r="F386" s="10" t="n"/>
      <c r="G386" s="10" t="n"/>
      <c r="H386" s="10" t="n"/>
      <c r="I386" s="10" t="n"/>
    </row>
    <row r="387">
      <c r="A387" s="12" t="n"/>
      <c r="B387" s="10" t="n"/>
      <c r="C387" s="10" t="n"/>
      <c r="D387" s="10" t="n"/>
      <c r="E387" s="10" t="n"/>
      <c r="F387" s="10" t="n"/>
      <c r="G387" s="10" t="n"/>
      <c r="H387" s="10" t="n"/>
      <c r="I387" s="10" t="n"/>
    </row>
    <row r="388">
      <c r="A388" s="12" t="n"/>
      <c r="B388" s="10" t="n"/>
      <c r="C388" s="10" t="n"/>
      <c r="D388" s="10" t="n"/>
      <c r="E388" s="10" t="n"/>
      <c r="F388" s="10" t="n"/>
      <c r="G388" s="10" t="n"/>
      <c r="H388" s="10" t="n"/>
      <c r="I388" s="10" t="n"/>
    </row>
    <row r="389">
      <c r="A389" s="12" t="n"/>
      <c r="B389" s="10" t="n"/>
      <c r="C389" s="10" t="n"/>
      <c r="D389" s="10" t="n"/>
      <c r="E389" s="10" t="n"/>
      <c r="F389" s="10" t="n"/>
      <c r="G389" s="10" t="n"/>
      <c r="H389" s="10" t="n"/>
      <c r="I389" s="10" t="n"/>
    </row>
    <row r="390">
      <c r="A390" s="12" t="n"/>
      <c r="B390" s="10" t="n"/>
      <c r="C390" s="10" t="n"/>
      <c r="D390" s="10" t="n"/>
      <c r="E390" s="10" t="n"/>
      <c r="F390" s="10" t="n"/>
      <c r="G390" s="10" t="n"/>
      <c r="H390" s="10" t="n"/>
      <c r="I390" s="10" t="n"/>
    </row>
    <row r="391">
      <c r="A391" s="12" t="n"/>
      <c r="B391" s="10" t="n"/>
      <c r="C391" s="10" t="n"/>
      <c r="D391" s="10" t="n"/>
      <c r="E391" s="10" t="n"/>
      <c r="F391" s="10" t="n"/>
      <c r="G391" s="10" t="n"/>
      <c r="H391" s="10" t="n"/>
      <c r="I391" s="10" t="n"/>
    </row>
    <row r="392">
      <c r="A392" s="12" t="n"/>
      <c r="B392" s="10" t="n"/>
      <c r="C392" s="10" t="n"/>
      <c r="D392" s="10" t="n"/>
      <c r="E392" s="10" t="n"/>
      <c r="F392" s="10" t="n"/>
      <c r="G392" s="10" t="n"/>
      <c r="H392" s="10" t="n"/>
      <c r="I392" s="10" t="n"/>
    </row>
    <row r="393">
      <c r="A393" s="12" t="n"/>
      <c r="B393" s="10" t="n"/>
      <c r="C393" s="10" t="n"/>
      <c r="D393" s="10" t="n"/>
      <c r="E393" s="10" t="n"/>
      <c r="F393" s="10" t="n"/>
      <c r="G393" s="10" t="n"/>
      <c r="H393" s="10" t="n"/>
      <c r="I393" s="10" t="n"/>
    </row>
    <row r="394">
      <c r="A394" s="12" t="n"/>
      <c r="B394" s="10" t="n"/>
      <c r="C394" s="10" t="n"/>
      <c r="D394" s="10" t="n"/>
      <c r="E394" s="10" t="n"/>
      <c r="F394" s="10" t="n"/>
      <c r="G394" s="10" t="n"/>
      <c r="H394" s="10" t="n"/>
      <c r="I394" s="10" t="n"/>
    </row>
    <row r="395">
      <c r="A395" s="12" t="n"/>
      <c r="B395" s="10" t="n"/>
      <c r="C395" s="10" t="n"/>
      <c r="D395" s="10" t="n"/>
      <c r="E395" s="10" t="n"/>
      <c r="F395" s="10" t="n"/>
      <c r="G395" s="10" t="n"/>
      <c r="H395" s="10" t="n"/>
      <c r="I395" s="10" t="n"/>
    </row>
    <row r="396">
      <c r="A396" s="12" t="n"/>
      <c r="B396" s="10" t="n"/>
      <c r="C396" s="10" t="n"/>
      <c r="D396" s="10" t="n"/>
      <c r="E396" s="10" t="n"/>
      <c r="F396" s="10" t="n"/>
      <c r="G396" s="10" t="n"/>
      <c r="H396" s="10" t="n"/>
      <c r="I396" s="10" t="n"/>
    </row>
    <row r="397">
      <c r="A397" s="12" t="n"/>
      <c r="B397" s="10" t="n"/>
      <c r="C397" s="10" t="n"/>
      <c r="D397" s="10" t="n"/>
      <c r="E397" s="10" t="n"/>
      <c r="F397" s="10" t="n"/>
      <c r="G397" s="10" t="n"/>
      <c r="H397" s="10" t="n"/>
      <c r="I397" s="10" t="n"/>
    </row>
    <row r="398">
      <c r="A398" s="12" t="n"/>
      <c r="B398" s="10" t="n"/>
      <c r="C398" s="10" t="n"/>
      <c r="D398" s="10" t="n"/>
      <c r="E398" s="10" t="n"/>
      <c r="F398" s="10" t="n"/>
      <c r="G398" s="10" t="n"/>
      <c r="H398" s="10" t="n"/>
      <c r="I398" s="10" t="n"/>
    </row>
    <row r="399">
      <c r="A399" s="12" t="n"/>
      <c r="B399" s="10" t="n"/>
      <c r="C399" s="10" t="n"/>
      <c r="D399" s="10" t="n"/>
      <c r="E399" s="10" t="n"/>
      <c r="F399" s="10" t="n"/>
      <c r="G399" s="10" t="n"/>
      <c r="H399" s="10" t="n"/>
      <c r="I399" s="10" t="n"/>
    </row>
    <row r="400">
      <c r="A400" s="12" t="n"/>
      <c r="B400" s="10" t="n"/>
      <c r="C400" s="10" t="n"/>
      <c r="D400" s="10" t="n"/>
      <c r="E400" s="10" t="n"/>
      <c r="F400" s="10" t="n"/>
      <c r="G400" s="10" t="n"/>
      <c r="H400" s="10" t="n"/>
      <c r="I400" s="10" t="n"/>
    </row>
    <row r="401">
      <c r="A401" s="12" t="n"/>
      <c r="B401" s="10" t="n"/>
      <c r="C401" s="10" t="n"/>
      <c r="D401" s="10" t="n"/>
      <c r="E401" s="10" t="n"/>
      <c r="F401" s="10" t="n"/>
      <c r="G401" s="10" t="n"/>
      <c r="H401" s="10" t="n"/>
      <c r="I401" s="10" t="n"/>
    </row>
    <row r="402">
      <c r="A402" s="12" t="n"/>
      <c r="B402" s="10" t="n"/>
      <c r="C402" s="10" t="n"/>
      <c r="D402" s="10" t="n"/>
      <c r="E402" s="10" t="n"/>
      <c r="F402" s="10" t="n"/>
      <c r="G402" s="10" t="n"/>
      <c r="H402" s="10" t="n"/>
      <c r="I402" s="10" t="n"/>
    </row>
    <row r="403">
      <c r="A403" s="12" t="n"/>
      <c r="B403" s="10" t="n"/>
      <c r="C403" s="10" t="n"/>
      <c r="D403" s="10" t="n"/>
      <c r="E403" s="10" t="n"/>
      <c r="F403" s="10" t="n"/>
      <c r="G403" s="10" t="n"/>
      <c r="H403" s="10" t="n"/>
      <c r="I403" s="10" t="n"/>
    </row>
    <row r="404">
      <c r="A404" s="12" t="n"/>
      <c r="B404" s="10" t="n"/>
      <c r="C404" s="10" t="n"/>
      <c r="D404" s="10" t="n"/>
      <c r="E404" s="10" t="n"/>
      <c r="F404" s="10" t="n"/>
      <c r="G404" s="10" t="n"/>
      <c r="H404" s="10" t="n"/>
      <c r="I404" s="10" t="n"/>
    </row>
    <row r="405">
      <c r="A405" s="12" t="n"/>
      <c r="B405" s="10" t="n"/>
      <c r="C405" s="10" t="n"/>
      <c r="D405" s="10" t="n"/>
      <c r="E405" s="10" t="n"/>
      <c r="F405" s="10" t="n"/>
      <c r="G405" s="10" t="n"/>
      <c r="H405" s="10" t="n"/>
      <c r="I405" s="10" t="n"/>
    </row>
    <row r="406">
      <c r="A406" s="12" t="n"/>
      <c r="B406" s="10" t="n"/>
      <c r="C406" s="10" t="n"/>
      <c r="D406" s="10" t="n"/>
      <c r="E406" s="10" t="n"/>
      <c r="F406" s="10" t="n"/>
      <c r="G406" s="10" t="n"/>
      <c r="H406" s="10" t="n"/>
      <c r="I406" s="10" t="n"/>
    </row>
    <row r="407">
      <c r="A407" s="12" t="n"/>
      <c r="B407" s="10" t="n"/>
      <c r="C407" s="10" t="n"/>
      <c r="D407" s="10" t="n"/>
      <c r="E407" s="10" t="n"/>
      <c r="F407" s="10" t="n"/>
      <c r="G407" s="10" t="n"/>
      <c r="H407" s="10" t="n"/>
      <c r="I407" s="10" t="n"/>
    </row>
    <row r="408">
      <c r="A408" s="12" t="n"/>
      <c r="B408" s="10" t="n"/>
      <c r="C408" s="10" t="n"/>
      <c r="D408" s="10" t="n"/>
      <c r="E408" s="10" t="n"/>
      <c r="F408" s="10" t="n"/>
      <c r="G408" s="10" t="n"/>
      <c r="H408" s="10" t="n"/>
      <c r="I408" s="10" t="n"/>
    </row>
    <row r="409">
      <c r="A409" s="12" t="n"/>
      <c r="B409" s="10" t="n"/>
      <c r="C409" s="10" t="n"/>
      <c r="D409" s="10" t="n"/>
      <c r="E409" s="10" t="n"/>
      <c r="F409" s="10" t="n"/>
      <c r="G409" s="10" t="n"/>
      <c r="H409" s="10" t="n"/>
      <c r="I409" s="10" t="n"/>
    </row>
    <row r="410">
      <c r="A410" s="12" t="n"/>
      <c r="B410" s="10" t="n"/>
      <c r="C410" s="10" t="n"/>
      <c r="D410" s="10" t="n"/>
      <c r="E410" s="10" t="n"/>
      <c r="F410" s="10" t="n"/>
      <c r="G410" s="10" t="n"/>
      <c r="H410" s="10" t="n"/>
      <c r="I410" s="10" t="n"/>
    </row>
    <row r="411">
      <c r="A411" s="12" t="n"/>
      <c r="B411" s="10" t="n"/>
      <c r="C411" s="10" t="n"/>
      <c r="D411" s="10" t="n"/>
      <c r="E411" s="10" t="n"/>
      <c r="F411" s="10" t="n"/>
      <c r="G411" s="10" t="n"/>
      <c r="H411" s="10" t="n"/>
      <c r="I411" s="10" t="n"/>
    </row>
    <row r="412">
      <c r="A412" s="12" t="n"/>
      <c r="B412" s="10" t="n"/>
      <c r="C412" s="10" t="n"/>
      <c r="D412" s="10" t="n"/>
      <c r="E412" s="10" t="n"/>
      <c r="F412" s="10" t="n"/>
      <c r="G412" s="10" t="n"/>
      <c r="H412" s="10" t="n"/>
      <c r="I412" s="10" t="n"/>
    </row>
    <row r="413">
      <c r="A413" s="12" t="n"/>
      <c r="B413" s="10" t="n"/>
      <c r="C413" s="10" t="n"/>
      <c r="D413" s="10" t="n"/>
      <c r="E413" s="10" t="n"/>
      <c r="F413" s="10" t="n"/>
      <c r="G413" s="10" t="n"/>
      <c r="H413" s="10" t="n"/>
      <c r="I413" s="10" t="n"/>
    </row>
    <row r="414">
      <c r="A414" s="12" t="n"/>
      <c r="B414" s="10" t="n"/>
      <c r="C414" s="10" t="n"/>
      <c r="D414" s="10" t="n"/>
      <c r="E414" s="10" t="n"/>
      <c r="F414" s="10" t="n"/>
      <c r="G414" s="10" t="n"/>
      <c r="H414" s="10" t="n"/>
      <c r="I414" s="10" t="n"/>
    </row>
    <row r="415">
      <c r="A415" s="12" t="n"/>
      <c r="B415" s="10" t="n"/>
      <c r="C415" s="10" t="n"/>
      <c r="D415" s="10" t="n"/>
      <c r="E415" s="10" t="n"/>
      <c r="F415" s="10" t="n"/>
      <c r="G415" s="10" t="n"/>
      <c r="H415" s="10" t="n"/>
      <c r="I415" s="10" t="n"/>
    </row>
    <row r="416">
      <c r="A416" s="12" t="n"/>
      <c r="B416" s="10" t="n"/>
      <c r="C416" s="10" t="n"/>
      <c r="D416" s="10" t="n"/>
      <c r="E416" s="10" t="n"/>
      <c r="F416" s="10" t="n"/>
      <c r="G416" s="10" t="n"/>
      <c r="H416" s="10" t="n"/>
      <c r="I416" s="10" t="n"/>
    </row>
    <row r="417">
      <c r="A417" s="12" t="n"/>
      <c r="B417" s="10" t="n"/>
      <c r="C417" s="10" t="n"/>
      <c r="D417" s="10" t="n"/>
      <c r="E417" s="10" t="n"/>
      <c r="F417" s="10" t="n"/>
      <c r="G417" s="10" t="n"/>
      <c r="H417" s="10" t="n"/>
      <c r="I417" s="10" t="n"/>
    </row>
    <row r="418">
      <c r="A418" s="12" t="n"/>
      <c r="B418" s="10" t="n"/>
      <c r="C418" s="10" t="n"/>
      <c r="D418" s="10" t="n"/>
      <c r="E418" s="10" t="n"/>
      <c r="F418" s="10" t="n"/>
      <c r="G418" s="10" t="n"/>
      <c r="H418" s="10" t="n"/>
      <c r="I418" s="10" t="n"/>
    </row>
    <row r="419">
      <c r="A419" s="12" t="n"/>
      <c r="B419" s="10" t="n"/>
      <c r="C419" s="10" t="n"/>
      <c r="D419" s="10" t="n"/>
      <c r="E419" s="10" t="n"/>
      <c r="F419" s="10" t="n"/>
      <c r="G419" s="10" t="n"/>
      <c r="H419" s="10" t="n"/>
      <c r="I419" s="10" t="n"/>
    </row>
    <row r="420">
      <c r="A420" s="12" t="n"/>
      <c r="B420" s="10" t="n"/>
      <c r="C420" s="10" t="n"/>
      <c r="D420" s="10" t="n"/>
      <c r="E420" s="10" t="n"/>
      <c r="F420" s="10" t="n"/>
      <c r="G420" s="10" t="n"/>
      <c r="H420" s="10" t="n"/>
      <c r="I420" s="10" t="n"/>
    </row>
    <row r="421">
      <c r="A421" s="12" t="n"/>
      <c r="B421" s="10" t="n"/>
      <c r="C421" s="10" t="n"/>
      <c r="D421" s="10" t="n"/>
      <c r="E421" s="10" t="n"/>
      <c r="F421" s="10" t="n"/>
      <c r="G421" s="10" t="n"/>
      <c r="H421" s="10" t="n"/>
      <c r="I421" s="10" t="n"/>
    </row>
    <row r="422">
      <c r="A422" s="12" t="n"/>
      <c r="B422" s="10" t="n"/>
      <c r="C422" s="10" t="n"/>
      <c r="D422" s="10" t="n"/>
      <c r="E422" s="10" t="n"/>
      <c r="F422" s="10" t="n"/>
      <c r="G422" s="10" t="n"/>
      <c r="H422" s="10" t="n"/>
      <c r="I422" s="10" t="n"/>
    </row>
    <row r="423">
      <c r="A423" s="12" t="n"/>
      <c r="B423" s="10" t="n"/>
      <c r="C423" s="10" t="n"/>
      <c r="D423" s="10" t="n"/>
      <c r="E423" s="10" t="n"/>
      <c r="F423" s="10" t="n"/>
      <c r="G423" s="10" t="n"/>
      <c r="H423" s="10" t="n"/>
      <c r="I423" s="10" t="n"/>
    </row>
    <row r="424">
      <c r="A424" s="12" t="n"/>
      <c r="B424" s="10" t="n"/>
      <c r="C424" s="10" t="n"/>
      <c r="D424" s="10" t="n"/>
      <c r="E424" s="10" t="n"/>
      <c r="F424" s="10" t="n"/>
      <c r="G424" s="10" t="n"/>
      <c r="H424" s="10" t="n"/>
      <c r="I424" s="10" t="n"/>
    </row>
    <row r="425">
      <c r="A425" s="12" t="n"/>
      <c r="B425" s="10" t="n"/>
      <c r="C425" s="10" t="n"/>
      <c r="D425" s="10" t="n"/>
      <c r="E425" s="10" t="n"/>
      <c r="F425" s="10" t="n"/>
      <c r="G425" s="10" t="n"/>
      <c r="H425" s="10" t="n"/>
      <c r="I425" s="10" t="n"/>
    </row>
    <row r="426">
      <c r="A426" s="12" t="n"/>
      <c r="B426" s="10" t="n"/>
      <c r="C426" s="10" t="n"/>
      <c r="D426" s="10" t="n"/>
      <c r="E426" s="10" t="n"/>
      <c r="F426" s="10" t="n"/>
      <c r="G426" s="10" t="n"/>
      <c r="H426" s="10" t="n"/>
      <c r="I426" s="10" t="n"/>
    </row>
    <row r="427">
      <c r="A427" s="12" t="n"/>
      <c r="B427" s="10" t="n"/>
      <c r="C427" s="10" t="n"/>
      <c r="D427" s="10" t="n"/>
      <c r="E427" s="10" t="n"/>
      <c r="F427" s="10" t="n"/>
      <c r="G427" s="10" t="n"/>
      <c r="H427" s="10" t="n"/>
      <c r="I427" s="10" t="n"/>
    </row>
    <row r="428">
      <c r="A428" s="12" t="n"/>
      <c r="B428" s="10" t="n"/>
      <c r="C428" s="10" t="n"/>
      <c r="D428" s="10" t="n"/>
      <c r="E428" s="10" t="n"/>
      <c r="F428" s="10" t="n"/>
      <c r="G428" s="10" t="n"/>
      <c r="H428" s="10" t="n"/>
      <c r="I428" s="10" t="n"/>
    </row>
    <row r="429">
      <c r="A429" s="12" t="n"/>
      <c r="B429" s="10" t="n"/>
      <c r="C429" s="10" t="n"/>
      <c r="D429" s="10" t="n"/>
      <c r="E429" s="10" t="n"/>
      <c r="F429" s="10" t="n"/>
      <c r="G429" s="10" t="n"/>
      <c r="H429" s="10" t="n"/>
      <c r="I429" s="10" t="n"/>
    </row>
    <row r="430">
      <c r="A430" s="12" t="n"/>
      <c r="B430" s="10" t="n"/>
      <c r="C430" s="10" t="n"/>
      <c r="D430" s="10" t="n"/>
      <c r="E430" s="10" t="n"/>
      <c r="F430" s="10" t="n"/>
      <c r="G430" s="10" t="n"/>
      <c r="H430" s="10" t="n"/>
      <c r="I430" s="10" t="n"/>
    </row>
    <row r="431">
      <c r="A431" s="12" t="n"/>
      <c r="B431" s="10" t="n"/>
      <c r="C431" s="10" t="n"/>
      <c r="D431" s="10" t="n"/>
      <c r="E431" s="10" t="n"/>
      <c r="F431" s="10" t="n"/>
      <c r="G431" s="10" t="n"/>
      <c r="H431" s="10" t="n"/>
      <c r="I431" s="10" t="n"/>
    </row>
    <row r="432">
      <c r="A432" s="12" t="n"/>
      <c r="B432" s="10" t="n"/>
      <c r="C432" s="10" t="n"/>
      <c r="D432" s="10" t="n"/>
      <c r="E432" s="10" t="n"/>
      <c r="F432" s="10" t="n"/>
      <c r="G432" s="10" t="n"/>
      <c r="H432" s="10" t="n"/>
      <c r="I432" s="10" t="n"/>
    </row>
    <row r="433">
      <c r="A433" s="12" t="n"/>
      <c r="B433" s="10" t="n"/>
      <c r="C433" s="10" t="n"/>
      <c r="D433" s="10" t="n"/>
      <c r="E433" s="10" t="n"/>
      <c r="F433" s="10" t="n"/>
      <c r="G433" s="10" t="n"/>
      <c r="H433" s="10" t="n"/>
      <c r="I433" s="10" t="n"/>
    </row>
    <row r="434">
      <c r="A434" s="12" t="n"/>
      <c r="B434" s="10" t="n"/>
      <c r="C434" s="10" t="n"/>
      <c r="D434" s="10" t="n"/>
      <c r="E434" s="10" t="n"/>
      <c r="F434" s="10" t="n"/>
      <c r="G434" s="10" t="n"/>
      <c r="H434" s="10" t="n"/>
      <c r="I434" s="10" t="n"/>
    </row>
    <row r="435">
      <c r="A435" s="12" t="n"/>
      <c r="B435" s="10" t="n"/>
      <c r="C435" s="10" t="n"/>
      <c r="D435" s="10" t="n"/>
      <c r="E435" s="10" t="n"/>
      <c r="F435" s="10" t="n"/>
      <c r="G435" s="10" t="n"/>
      <c r="H435" s="10" t="n"/>
      <c r="I435" s="10" t="n"/>
    </row>
    <row r="436">
      <c r="A436" s="12" t="n"/>
      <c r="B436" s="10" t="n"/>
      <c r="C436" s="10" t="n"/>
      <c r="D436" s="10" t="n"/>
      <c r="E436" s="10" t="n"/>
      <c r="F436" s="10" t="n"/>
      <c r="G436" s="10" t="n"/>
      <c r="H436" s="10" t="n"/>
      <c r="I436" s="10" t="n"/>
    </row>
    <row r="437">
      <c r="A437" s="12" t="n"/>
      <c r="B437" s="10" t="n"/>
      <c r="C437" s="10" t="n"/>
      <c r="D437" s="10" t="n"/>
      <c r="E437" s="10" t="n"/>
      <c r="F437" s="10" t="n"/>
      <c r="G437" s="10" t="n"/>
      <c r="H437" s="10" t="n"/>
      <c r="I437" s="10" t="n"/>
    </row>
    <row r="438">
      <c r="A438" s="12" t="n"/>
      <c r="B438" s="10" t="n"/>
      <c r="C438" s="10" t="n"/>
      <c r="D438" s="10" t="n"/>
      <c r="E438" s="10" t="n"/>
      <c r="F438" s="10" t="n"/>
      <c r="G438" s="10" t="n"/>
      <c r="H438" s="10" t="n"/>
      <c r="I438" s="10" t="n"/>
    </row>
    <row r="439">
      <c r="A439" s="12" t="n"/>
      <c r="B439" s="10" t="n"/>
      <c r="C439" s="10" t="n"/>
      <c r="D439" s="10" t="n"/>
      <c r="E439" s="10" t="n"/>
      <c r="F439" s="10" t="n"/>
      <c r="G439" s="10" t="n"/>
      <c r="H439" s="10" t="n"/>
      <c r="I439" s="10" t="n"/>
    </row>
    <row r="440">
      <c r="A440" s="12" t="n"/>
      <c r="B440" s="10" t="n"/>
      <c r="C440" s="10" t="n"/>
      <c r="D440" s="10" t="n"/>
      <c r="E440" s="10" t="n"/>
      <c r="F440" s="10" t="n"/>
      <c r="G440" s="10" t="n"/>
      <c r="H440" s="10" t="n"/>
      <c r="I440" s="10" t="n"/>
    </row>
    <row r="441">
      <c r="A441" s="12" t="n"/>
      <c r="B441" s="10" t="n"/>
      <c r="C441" s="10" t="n"/>
      <c r="D441" s="10" t="n"/>
      <c r="E441" s="10" t="n"/>
      <c r="F441" s="10" t="n"/>
      <c r="G441" s="10" t="n"/>
      <c r="H441" s="10" t="n"/>
      <c r="I441" s="10" t="n"/>
    </row>
    <row r="442">
      <c r="A442" s="12" t="n"/>
      <c r="B442" s="10" t="n"/>
      <c r="C442" s="10" t="n"/>
      <c r="D442" s="10" t="n"/>
      <c r="E442" s="10" t="n"/>
      <c r="F442" s="10" t="n"/>
      <c r="G442" s="10" t="n"/>
      <c r="H442" s="10" t="n"/>
      <c r="I442" s="10" t="n"/>
    </row>
    <row r="443">
      <c r="A443" s="12" t="n"/>
      <c r="B443" s="10" t="n"/>
      <c r="C443" s="10" t="n"/>
      <c r="D443" s="10" t="n"/>
      <c r="E443" s="10" t="n"/>
      <c r="F443" s="10" t="n"/>
      <c r="G443" s="10" t="n"/>
      <c r="H443" s="10" t="n"/>
      <c r="I443" s="10" t="n"/>
    </row>
    <row r="444">
      <c r="A444" s="12" t="n"/>
      <c r="B444" s="10" t="n"/>
      <c r="C444" s="10" t="n"/>
      <c r="D444" s="10" t="n"/>
      <c r="E444" s="10" t="n"/>
      <c r="F444" s="10" t="n"/>
      <c r="G444" s="10" t="n"/>
      <c r="H444" s="10" t="n"/>
      <c r="I444" s="10" t="n"/>
    </row>
    <row r="445">
      <c r="A445" s="12" t="n"/>
      <c r="B445" s="10" t="n"/>
      <c r="C445" s="10" t="n"/>
      <c r="D445" s="10" t="n"/>
      <c r="E445" s="10" t="n"/>
      <c r="F445" s="10" t="n"/>
      <c r="G445" s="10" t="n"/>
      <c r="H445" s="10" t="n"/>
      <c r="I445" s="10" t="n"/>
    </row>
    <row r="446">
      <c r="A446" s="12" t="n"/>
      <c r="B446" s="10" t="n"/>
      <c r="C446" s="10" t="n"/>
      <c r="D446" s="10" t="n"/>
      <c r="E446" s="10" t="n"/>
      <c r="F446" s="10" t="n"/>
      <c r="G446" s="10" t="n"/>
      <c r="H446" s="10" t="n"/>
      <c r="I446" s="10" t="n"/>
    </row>
    <row r="447">
      <c r="A447" s="12" t="n"/>
      <c r="B447" s="10" t="n"/>
      <c r="C447" s="10" t="n"/>
      <c r="D447" s="10" t="n"/>
      <c r="E447" s="10" t="n"/>
      <c r="F447" s="10" t="n"/>
      <c r="G447" s="10" t="n"/>
      <c r="H447" s="10" t="n"/>
      <c r="I447" s="10" t="n"/>
    </row>
    <row r="448">
      <c r="A448" s="12" t="n"/>
      <c r="B448" s="10" t="n"/>
      <c r="C448" s="10" t="n"/>
      <c r="D448" s="10" t="n"/>
      <c r="E448" s="10" t="n"/>
      <c r="F448" s="10" t="n"/>
      <c r="G448" s="10" t="n"/>
      <c r="H448" s="10" t="n"/>
      <c r="I448" s="10" t="n"/>
    </row>
    <row r="449">
      <c r="A449" s="12" t="n"/>
      <c r="B449" s="10" t="n"/>
      <c r="C449" s="10" t="n"/>
      <c r="D449" s="10" t="n"/>
      <c r="E449" s="10" t="n"/>
      <c r="F449" s="10" t="n"/>
      <c r="G449" s="10" t="n"/>
      <c r="H449" s="10" t="n"/>
      <c r="I449" s="10" t="n"/>
    </row>
    <row r="450">
      <c r="A450" s="12" t="n"/>
      <c r="B450" s="10" t="n"/>
      <c r="C450" s="10" t="n"/>
      <c r="D450" s="10" t="n"/>
      <c r="E450" s="10" t="n"/>
      <c r="F450" s="10" t="n"/>
      <c r="G450" s="10" t="n"/>
      <c r="H450" s="10" t="n"/>
      <c r="I450" s="10" t="n"/>
    </row>
    <row r="451">
      <c r="A451" s="12" t="n"/>
      <c r="B451" s="10" t="n"/>
      <c r="C451" s="10" t="n"/>
      <c r="D451" s="10" t="n"/>
      <c r="E451" s="10" t="n"/>
      <c r="F451" s="10" t="n"/>
      <c r="G451" s="10" t="n"/>
      <c r="H451" s="10" t="n"/>
      <c r="I451" s="10" t="n"/>
    </row>
    <row r="452">
      <c r="A452" s="12" t="n"/>
      <c r="B452" s="10" t="n"/>
      <c r="C452" s="10" t="n"/>
      <c r="D452" s="10" t="n"/>
      <c r="E452" s="10" t="n"/>
      <c r="F452" s="10" t="n"/>
      <c r="G452" s="10" t="n"/>
      <c r="H452" s="10" t="n"/>
      <c r="I452" s="10" t="n"/>
    </row>
    <row r="453">
      <c r="A453" s="12" t="n"/>
      <c r="B453" s="10" t="n"/>
      <c r="C453" s="10" t="n"/>
      <c r="D453" s="10" t="n"/>
      <c r="E453" s="10" t="n"/>
      <c r="F453" s="10" t="n"/>
      <c r="G453" s="10" t="n"/>
      <c r="H453" s="10" t="n"/>
      <c r="I453" s="10" t="n"/>
    </row>
    <row r="454">
      <c r="A454" s="12" t="n"/>
      <c r="B454" s="10" t="n"/>
      <c r="C454" s="10" t="n"/>
      <c r="D454" s="10" t="n"/>
      <c r="E454" s="10" t="n"/>
      <c r="F454" s="10" t="n"/>
      <c r="G454" s="10" t="n"/>
      <c r="H454" s="10" t="n"/>
      <c r="I454" s="10" t="n"/>
    </row>
    <row r="455">
      <c r="A455" s="12" t="n"/>
      <c r="B455" s="10" t="n"/>
      <c r="C455" s="10" t="n"/>
      <c r="D455" s="10" t="n"/>
      <c r="E455" s="10" t="n"/>
      <c r="F455" s="10" t="n"/>
      <c r="G455" s="10" t="n"/>
      <c r="H455" s="10" t="n"/>
      <c r="I455" s="10" t="n"/>
    </row>
    <row r="456">
      <c r="A456" s="12" t="n"/>
      <c r="B456" s="10" t="n"/>
      <c r="C456" s="10" t="n"/>
      <c r="D456" s="10" t="n"/>
      <c r="E456" s="10" t="n"/>
      <c r="F456" s="10" t="n"/>
      <c r="G456" s="10" t="n"/>
      <c r="H456" s="10" t="n"/>
      <c r="I456" s="10" t="n"/>
    </row>
    <row r="457">
      <c r="A457" s="12" t="n"/>
      <c r="B457" s="10" t="n"/>
      <c r="C457" s="10" t="n"/>
      <c r="D457" s="10" t="n"/>
      <c r="E457" s="10" t="n"/>
      <c r="F457" s="10" t="n"/>
      <c r="G457" s="10" t="n"/>
      <c r="H457" s="10" t="n"/>
      <c r="I457" s="10" t="n"/>
    </row>
    <row r="458">
      <c r="A458" s="12" t="n"/>
      <c r="B458" s="10" t="n"/>
      <c r="C458" s="10" t="n"/>
      <c r="D458" s="10" t="n"/>
      <c r="E458" s="10" t="n"/>
      <c r="F458" s="10" t="n"/>
      <c r="G458" s="10" t="n"/>
      <c r="H458" s="10" t="n"/>
      <c r="I458" s="10" t="n"/>
    </row>
    <row r="459">
      <c r="A459" s="12" t="n"/>
      <c r="B459" s="10" t="n"/>
      <c r="C459" s="10" t="n"/>
      <c r="D459" s="10" t="n"/>
      <c r="E459" s="10" t="n"/>
      <c r="F459" s="10" t="n"/>
      <c r="G459" s="10" t="n"/>
      <c r="H459" s="10" t="n"/>
      <c r="I459" s="10" t="n"/>
    </row>
    <row r="460">
      <c r="A460" s="12" t="n"/>
      <c r="B460" s="10" t="n"/>
      <c r="C460" s="10" t="n"/>
      <c r="D460" s="10" t="n"/>
      <c r="E460" s="10" t="n"/>
      <c r="F460" s="10" t="n"/>
      <c r="G460" s="10" t="n"/>
      <c r="H460" s="10" t="n"/>
      <c r="I460" s="10" t="n"/>
    </row>
    <row r="461">
      <c r="A461" s="12" t="n"/>
      <c r="B461" s="10" t="n"/>
      <c r="C461" s="10" t="n"/>
      <c r="D461" s="10" t="n"/>
      <c r="E461" s="10" t="n"/>
      <c r="F461" s="10" t="n"/>
      <c r="G461" s="10" t="n"/>
      <c r="H461" s="10" t="n"/>
      <c r="I461" s="10" t="n"/>
    </row>
    <row r="462">
      <c r="A462" s="12" t="n"/>
      <c r="B462" s="10" t="n"/>
      <c r="C462" s="10" t="n"/>
      <c r="D462" s="10" t="n"/>
      <c r="E462" s="10" t="n"/>
      <c r="F462" s="10" t="n"/>
      <c r="G462" s="10" t="n"/>
      <c r="H462" s="10" t="n"/>
      <c r="I462" s="10" t="n"/>
    </row>
    <row r="463">
      <c r="A463" s="12" t="n"/>
      <c r="B463" s="10" t="n"/>
      <c r="C463" s="10" t="n"/>
      <c r="D463" s="10" t="n"/>
      <c r="E463" s="10" t="n"/>
      <c r="F463" s="10" t="n"/>
      <c r="G463" s="10" t="n"/>
      <c r="H463" s="10" t="n"/>
      <c r="I463" s="10" t="n"/>
    </row>
    <row r="464">
      <c r="A464" s="12" t="n"/>
      <c r="B464" s="10" t="n"/>
      <c r="C464" s="10" t="n"/>
      <c r="D464" s="10" t="n"/>
      <c r="E464" s="10" t="n"/>
      <c r="F464" s="10" t="n"/>
      <c r="G464" s="10" t="n"/>
      <c r="H464" s="10" t="n"/>
      <c r="I464" s="10" t="n"/>
    </row>
    <row r="465">
      <c r="A465" s="12" t="n"/>
      <c r="B465" s="10" t="n"/>
      <c r="C465" s="10" t="n"/>
      <c r="D465" s="10" t="n"/>
      <c r="E465" s="10" t="n"/>
      <c r="F465" s="10" t="n"/>
      <c r="G465" s="10" t="n"/>
      <c r="H465" s="10" t="n"/>
      <c r="I465" s="10" t="n"/>
    </row>
    <row r="466">
      <c r="A466" s="12" t="n"/>
      <c r="B466" s="10" t="n"/>
      <c r="C466" s="10" t="n"/>
      <c r="D466" s="10" t="n"/>
      <c r="E466" s="10" t="n"/>
      <c r="F466" s="10" t="n"/>
      <c r="G466" s="10" t="n"/>
      <c r="H466" s="10" t="n"/>
      <c r="I466" s="10" t="n"/>
    </row>
    <row r="467">
      <c r="A467" s="12" t="n"/>
      <c r="B467" s="10" t="n"/>
      <c r="C467" s="10" t="n"/>
      <c r="D467" s="10" t="n"/>
      <c r="E467" s="10" t="n"/>
      <c r="F467" s="10" t="n"/>
      <c r="G467" s="10" t="n"/>
      <c r="H467" s="10" t="n"/>
      <c r="I467" s="10" t="n"/>
    </row>
    <row r="468">
      <c r="A468" s="12" t="n"/>
      <c r="B468" s="10" t="n"/>
      <c r="C468" s="10" t="n"/>
      <c r="D468" s="10" t="n"/>
      <c r="E468" s="10" t="n"/>
      <c r="F468" s="10" t="n"/>
      <c r="G468" s="10" t="n"/>
      <c r="H468" s="10" t="n"/>
      <c r="I468" s="10" t="n"/>
    </row>
    <row r="469">
      <c r="A469" s="12" t="n"/>
      <c r="B469" s="10" t="n"/>
      <c r="C469" s="10" t="n"/>
      <c r="D469" s="10" t="n"/>
      <c r="E469" s="10" t="n"/>
      <c r="F469" s="10" t="n"/>
      <c r="G469" s="10" t="n"/>
      <c r="H469" s="10" t="n"/>
      <c r="I469" s="10" t="n"/>
    </row>
    <row r="470">
      <c r="A470" s="12" t="n"/>
      <c r="B470" s="10" t="n"/>
      <c r="C470" s="10" t="n"/>
      <c r="D470" s="10" t="n"/>
      <c r="E470" s="10" t="n"/>
      <c r="F470" s="10" t="n"/>
      <c r="G470" s="10" t="n"/>
      <c r="H470" s="10" t="n"/>
      <c r="I470" s="10" t="n"/>
    </row>
    <row r="471">
      <c r="A471" s="12" t="n"/>
      <c r="B471" s="10" t="n"/>
      <c r="C471" s="10" t="n"/>
      <c r="D471" s="10" t="n"/>
      <c r="E471" s="10" t="n"/>
      <c r="F471" s="10" t="n"/>
      <c r="G471" s="10" t="n"/>
      <c r="H471" s="10" t="n"/>
      <c r="I471" s="10" t="n"/>
    </row>
    <row r="472">
      <c r="A472" s="12" t="n"/>
      <c r="B472" s="10" t="n"/>
      <c r="C472" s="10" t="n"/>
      <c r="D472" s="10" t="n"/>
      <c r="E472" s="10" t="n"/>
      <c r="F472" s="10" t="n"/>
      <c r="G472" s="10" t="n"/>
      <c r="H472" s="10" t="n"/>
      <c r="I472" s="10" t="n"/>
    </row>
    <row r="473">
      <c r="A473" s="12" t="n"/>
      <c r="B473" s="10" t="n"/>
      <c r="C473" s="10" t="n"/>
      <c r="D473" s="10" t="n"/>
      <c r="E473" s="10" t="n"/>
      <c r="F473" s="10" t="n"/>
      <c r="G473" s="10" t="n"/>
      <c r="H473" s="10" t="n"/>
      <c r="I473" s="10" t="n"/>
    </row>
    <row r="474">
      <c r="A474" s="12" t="n"/>
      <c r="B474" s="10" t="n"/>
      <c r="C474" s="10" t="n"/>
      <c r="D474" s="10" t="n"/>
      <c r="E474" s="10" t="n"/>
      <c r="F474" s="10" t="n"/>
      <c r="G474" s="10" t="n"/>
      <c r="H474" s="10" t="n"/>
      <c r="I474" s="10" t="n"/>
    </row>
    <row r="475">
      <c r="A475" s="12" t="n"/>
      <c r="B475" s="10" t="n"/>
      <c r="C475" s="10" t="n"/>
      <c r="D475" s="10" t="n"/>
      <c r="E475" s="10" t="n"/>
      <c r="F475" s="10" t="n"/>
      <c r="G475" s="10" t="n"/>
      <c r="H475" s="10" t="n"/>
      <c r="I475" s="10" t="n"/>
    </row>
    <row r="476">
      <c r="A476" s="12" t="n"/>
      <c r="B476" s="10" t="n"/>
      <c r="C476" s="10" t="n"/>
      <c r="D476" s="10" t="n"/>
      <c r="E476" s="10" t="n"/>
      <c r="F476" s="10" t="n"/>
      <c r="G476" s="10" t="n"/>
      <c r="H476" s="10" t="n"/>
      <c r="I476" s="10" t="n"/>
    </row>
    <row r="477">
      <c r="A477" s="12" t="n"/>
      <c r="B477" s="10" t="n"/>
      <c r="C477" s="10" t="n"/>
      <c r="D477" s="10" t="n"/>
      <c r="E477" s="10" t="n"/>
      <c r="F477" s="10" t="n"/>
      <c r="G477" s="10" t="n"/>
      <c r="H477" s="10" t="n"/>
      <c r="I477" s="10" t="n"/>
    </row>
    <row r="478">
      <c r="A478" s="12" t="n"/>
      <c r="B478" s="10" t="n"/>
      <c r="C478" s="10" t="n"/>
      <c r="D478" s="10" t="n"/>
      <c r="E478" s="10" t="n"/>
      <c r="F478" s="10" t="n"/>
      <c r="G478" s="10" t="n"/>
      <c r="H478" s="10" t="n"/>
      <c r="I478" s="10" t="n"/>
    </row>
    <row r="479">
      <c r="A479" s="12" t="n"/>
      <c r="B479" s="10" t="n"/>
      <c r="C479" s="10" t="n"/>
      <c r="D479" s="10" t="n"/>
      <c r="E479" s="10" t="n"/>
      <c r="F479" s="10" t="n"/>
      <c r="G479" s="10" t="n"/>
      <c r="H479" s="10" t="n"/>
      <c r="I479" s="10" t="n"/>
    </row>
    <row r="480">
      <c r="A480" s="12" t="n"/>
      <c r="B480" s="10" t="n"/>
      <c r="C480" s="10" t="n"/>
      <c r="D480" s="10" t="n"/>
      <c r="E480" s="10" t="n"/>
      <c r="F480" s="10" t="n"/>
      <c r="G480" s="10" t="n"/>
      <c r="H480" s="10" t="n"/>
      <c r="I480" s="10" t="n"/>
    </row>
    <row r="481">
      <c r="A481" s="12" t="n"/>
      <c r="B481" s="10" t="n"/>
      <c r="C481" s="10" t="n"/>
      <c r="D481" s="10" t="n"/>
      <c r="E481" s="10" t="n"/>
      <c r="F481" s="10" t="n"/>
      <c r="G481" s="10" t="n"/>
      <c r="H481" s="10" t="n"/>
      <c r="I481" s="10" t="n"/>
    </row>
    <row r="482">
      <c r="A482" s="12" t="n"/>
      <c r="B482" s="10" t="n"/>
      <c r="C482" s="10" t="n"/>
      <c r="D482" s="10" t="n"/>
      <c r="E482" s="10" t="n"/>
      <c r="F482" s="10" t="n"/>
      <c r="G482" s="10" t="n"/>
      <c r="H482" s="10" t="n"/>
      <c r="I482" s="10" t="n"/>
    </row>
    <row r="483">
      <c r="A483" s="12" t="n"/>
      <c r="B483" s="10" t="n"/>
      <c r="C483" s="10" t="n"/>
      <c r="D483" s="10" t="n"/>
      <c r="E483" s="10" t="n"/>
      <c r="F483" s="10" t="n"/>
      <c r="G483" s="10" t="n"/>
      <c r="H483" s="10" t="n"/>
      <c r="I483" s="10" t="n"/>
    </row>
    <row r="484">
      <c r="A484" s="12" t="n"/>
      <c r="B484" s="10" t="n"/>
      <c r="C484" s="10" t="n"/>
      <c r="D484" s="10" t="n"/>
      <c r="E484" s="10" t="n"/>
      <c r="F484" s="10" t="n"/>
      <c r="G484" s="10" t="n"/>
      <c r="H484" s="10" t="n"/>
      <c r="I484" s="10" t="n"/>
    </row>
    <row r="485">
      <c r="A485" s="12" t="n"/>
      <c r="B485" s="10" t="n"/>
      <c r="C485" s="10" t="n"/>
      <c r="D485" s="10" t="n"/>
      <c r="E485" s="10" t="n"/>
      <c r="F485" s="10" t="n"/>
      <c r="G485" s="10" t="n"/>
      <c r="H485" s="10" t="n"/>
      <c r="I485" s="10" t="n"/>
    </row>
    <row r="486">
      <c r="A486" s="12" t="n"/>
      <c r="B486" s="10" t="n"/>
      <c r="C486" s="10" t="n"/>
      <c r="D486" s="10" t="n"/>
      <c r="E486" s="10" t="n"/>
      <c r="F486" s="10" t="n"/>
      <c r="G486" s="10" t="n"/>
      <c r="H486" s="10" t="n"/>
      <c r="I486" s="10" t="n"/>
    </row>
    <row r="487">
      <c r="A487" s="12" t="n"/>
      <c r="B487" s="10" t="n"/>
      <c r="C487" s="10" t="n"/>
      <c r="D487" s="10" t="n"/>
      <c r="E487" s="10" t="n"/>
      <c r="F487" s="10" t="n"/>
      <c r="G487" s="10" t="n"/>
      <c r="H487" s="10" t="n"/>
      <c r="I487" s="10" t="n"/>
    </row>
    <row r="488">
      <c r="A488" s="12" t="n"/>
      <c r="B488" s="10" t="n"/>
      <c r="C488" s="10" t="n"/>
      <c r="D488" s="10" t="n"/>
      <c r="E488" s="10" t="n"/>
      <c r="F488" s="10" t="n"/>
      <c r="G488" s="10" t="n"/>
      <c r="H488" s="10" t="n"/>
      <c r="I488" s="10" t="n"/>
    </row>
    <row r="489">
      <c r="A489" s="12" t="n"/>
      <c r="B489" s="10" t="n"/>
      <c r="C489" s="10" t="n"/>
      <c r="D489" s="10" t="n"/>
      <c r="E489" s="10" t="n"/>
      <c r="F489" s="10" t="n"/>
      <c r="G489" s="10" t="n"/>
      <c r="H489" s="10" t="n"/>
      <c r="I489" s="10" t="n"/>
    </row>
    <row r="490">
      <c r="A490" s="12" t="n"/>
      <c r="B490" s="10" t="n"/>
      <c r="C490" s="10" t="n"/>
      <c r="D490" s="10" t="n"/>
      <c r="E490" s="10" t="n"/>
      <c r="F490" s="10" t="n"/>
      <c r="G490" s="10" t="n"/>
      <c r="H490" s="10" t="n"/>
      <c r="I490" s="10" t="n"/>
    </row>
    <row r="491">
      <c r="A491" s="12" t="n"/>
      <c r="B491" s="10" t="n"/>
      <c r="C491" s="10" t="n"/>
      <c r="D491" s="10" t="n"/>
      <c r="E491" s="10" t="n"/>
      <c r="F491" s="10" t="n"/>
      <c r="G491" s="10" t="n"/>
      <c r="H491" s="10" t="n"/>
      <c r="I491" s="10" t="n"/>
    </row>
    <row r="492">
      <c r="A492" s="12" t="n"/>
      <c r="B492" s="10" t="n"/>
      <c r="C492" s="10" t="n"/>
      <c r="D492" s="10" t="n"/>
      <c r="E492" s="10" t="n"/>
      <c r="F492" s="10" t="n"/>
      <c r="G492" s="10" t="n"/>
      <c r="H492" s="10" t="n"/>
      <c r="I492" s="10" t="n"/>
    </row>
    <row r="493">
      <c r="A493" s="12" t="n"/>
      <c r="B493" s="10" t="n"/>
      <c r="C493" s="10" t="n"/>
      <c r="D493" s="10" t="n"/>
      <c r="E493" s="10" t="n"/>
      <c r="F493" s="10" t="n"/>
      <c r="G493" s="10" t="n"/>
      <c r="H493" s="10" t="n"/>
      <c r="I493" s="10" t="n"/>
    </row>
    <row r="494">
      <c r="A494" s="12" t="n"/>
      <c r="B494" s="10" t="n"/>
      <c r="C494" s="10" t="n"/>
      <c r="D494" s="10" t="n"/>
      <c r="E494" s="10" t="n"/>
      <c r="F494" s="10" t="n"/>
      <c r="G494" s="10" t="n"/>
      <c r="H494" s="10" t="n"/>
      <c r="I494" s="10" t="n"/>
    </row>
    <row r="495">
      <c r="A495" s="12" t="n"/>
      <c r="B495" s="10" t="n"/>
      <c r="C495" s="10" t="n"/>
      <c r="D495" s="10" t="n"/>
      <c r="E495" s="10" t="n"/>
      <c r="F495" s="10" t="n"/>
      <c r="G495" s="10" t="n"/>
      <c r="H495" s="10" t="n"/>
      <c r="I495" s="10" t="n"/>
    </row>
    <row r="496">
      <c r="A496" s="12" t="n"/>
      <c r="B496" s="10" t="n"/>
      <c r="C496" s="10" t="n"/>
      <c r="D496" s="10" t="n"/>
      <c r="E496" s="10" t="n"/>
      <c r="F496" s="10" t="n"/>
      <c r="G496" s="10" t="n"/>
      <c r="H496" s="10" t="n"/>
      <c r="I496" s="10" t="n"/>
    </row>
    <row r="497">
      <c r="A497" s="12" t="n"/>
      <c r="B497" s="10" t="n"/>
      <c r="C497" s="10" t="n"/>
      <c r="D497" s="10" t="n"/>
      <c r="E497" s="10" t="n"/>
      <c r="F497" s="10" t="n"/>
      <c r="G497" s="10" t="n"/>
      <c r="H497" s="10" t="n"/>
      <c r="I497" s="10" t="n"/>
    </row>
    <row r="498">
      <c r="A498" s="12" t="n"/>
      <c r="B498" s="10" t="n"/>
      <c r="C498" s="10" t="n"/>
      <c r="D498" s="10" t="n"/>
      <c r="E498" s="10" t="n"/>
      <c r="F498" s="10" t="n"/>
      <c r="G498" s="10" t="n"/>
      <c r="H498" s="10" t="n"/>
      <c r="I498" s="10" t="n"/>
    </row>
    <row r="499">
      <c r="A499" s="12" t="n"/>
      <c r="B499" s="10" t="n"/>
      <c r="C499" s="10" t="n"/>
      <c r="D499" s="10" t="n"/>
      <c r="E499" s="10" t="n"/>
      <c r="F499" s="10" t="n"/>
      <c r="G499" s="10" t="n"/>
      <c r="H499" s="10" t="n"/>
      <c r="I499" s="10" t="n"/>
    </row>
    <row r="500">
      <c r="A500" s="12" t="n"/>
      <c r="B500" s="10" t="n"/>
      <c r="C500" s="10" t="n"/>
      <c r="D500" s="10" t="n"/>
      <c r="E500" s="10" t="n"/>
      <c r="F500" s="10" t="n"/>
      <c r="G500" s="10" t="n"/>
      <c r="H500" s="10" t="n"/>
      <c r="I500" s="10" t="n"/>
    </row>
    <row r="501">
      <c r="A501" s="12" t="n"/>
      <c r="B501" s="10" t="n"/>
      <c r="C501" s="10" t="n"/>
      <c r="D501" s="10" t="n"/>
      <c r="E501" s="10" t="n"/>
      <c r="F501" s="10" t="n"/>
      <c r="G501" s="10" t="n"/>
      <c r="H501" s="10" t="n"/>
      <c r="I501" s="10" t="n"/>
    </row>
    <row r="502">
      <c r="A502" s="12" t="n"/>
      <c r="B502" s="10" t="n"/>
      <c r="C502" s="10" t="n"/>
      <c r="D502" s="10" t="n"/>
      <c r="E502" s="10" t="n"/>
      <c r="F502" s="10" t="n"/>
      <c r="G502" s="10" t="n"/>
      <c r="H502" s="10" t="n"/>
      <c r="I502" s="10" t="n"/>
    </row>
    <row r="503">
      <c r="A503" s="12" t="n"/>
      <c r="B503" s="10" t="n"/>
      <c r="C503" s="10" t="n"/>
      <c r="D503" s="10" t="n"/>
      <c r="E503" s="10" t="n"/>
      <c r="F503" s="10" t="n"/>
      <c r="G503" s="10" t="n"/>
      <c r="H503" s="10" t="n"/>
      <c r="I503" s="10" t="n"/>
    </row>
    <row r="504">
      <c r="A504" s="12" t="n"/>
      <c r="B504" s="10" t="n"/>
      <c r="C504" s="10" t="n"/>
      <c r="D504" s="10" t="n"/>
      <c r="E504" s="10" t="n"/>
      <c r="F504" s="10" t="n"/>
      <c r="G504" s="10" t="n"/>
      <c r="H504" s="10" t="n"/>
      <c r="I504" s="10" t="n"/>
    </row>
    <row r="505">
      <c r="A505" s="12" t="n"/>
      <c r="B505" s="10" t="n"/>
      <c r="C505" s="10" t="n"/>
      <c r="D505" s="10" t="n"/>
      <c r="E505" s="10" t="n"/>
      <c r="F505" s="10" t="n"/>
      <c r="G505" s="10" t="n"/>
      <c r="H505" s="10" t="n"/>
      <c r="I505" s="10" t="n"/>
    </row>
    <row r="506">
      <c r="A506" s="12" t="n"/>
      <c r="B506" s="10" t="n"/>
      <c r="C506" s="10" t="n"/>
      <c r="D506" s="10" t="n"/>
      <c r="E506" s="10" t="n"/>
      <c r="F506" s="10" t="n"/>
      <c r="G506" s="10" t="n"/>
      <c r="H506" s="10" t="n"/>
      <c r="I506" s="10" t="n"/>
    </row>
    <row r="507">
      <c r="A507" s="12" t="n"/>
      <c r="B507" s="10" t="n"/>
      <c r="C507" s="10" t="n"/>
      <c r="D507" s="10" t="n"/>
      <c r="E507" s="10" t="n"/>
      <c r="F507" s="10" t="n"/>
      <c r="G507" s="10" t="n"/>
      <c r="H507" s="10" t="n"/>
      <c r="I507" s="10" t="n"/>
    </row>
    <row r="508">
      <c r="A508" s="12" t="n"/>
      <c r="B508" s="10" t="n"/>
      <c r="C508" s="10" t="n"/>
      <c r="D508" s="10" t="n"/>
      <c r="E508" s="10" t="n"/>
      <c r="F508" s="10" t="n"/>
      <c r="G508" s="10" t="n"/>
      <c r="H508" s="10" t="n"/>
      <c r="I508" s="10" t="n"/>
    </row>
    <row r="509">
      <c r="A509" s="12" t="n"/>
      <c r="B509" s="10" t="n"/>
      <c r="C509" s="10" t="n"/>
      <c r="D509" s="10" t="n"/>
      <c r="E509" s="10" t="n"/>
      <c r="F509" s="10" t="n"/>
      <c r="G509" s="10" t="n"/>
      <c r="H509" s="10" t="n"/>
      <c r="I509" s="10" t="n"/>
    </row>
    <row r="510">
      <c r="A510" s="12" t="n"/>
      <c r="B510" s="10" t="n"/>
      <c r="C510" s="10" t="n"/>
      <c r="D510" s="10" t="n"/>
      <c r="E510" s="10" t="n"/>
      <c r="F510" s="10" t="n"/>
      <c r="G510" s="10" t="n"/>
      <c r="H510" s="10" t="n"/>
      <c r="I510" s="10" t="n"/>
    </row>
    <row r="511">
      <c r="A511" s="12" t="n"/>
      <c r="B511" s="10" t="n"/>
      <c r="C511" s="10" t="n"/>
      <c r="D511" s="10" t="n"/>
      <c r="E511" s="10" t="n"/>
      <c r="F511" s="10" t="n"/>
      <c r="G511" s="10" t="n"/>
      <c r="H511" s="10" t="n"/>
      <c r="I511" s="10" t="n"/>
    </row>
    <row r="512">
      <c r="A512" s="12" t="n"/>
      <c r="B512" s="10" t="n"/>
      <c r="C512" s="10" t="n"/>
      <c r="D512" s="10" t="n"/>
      <c r="E512" s="10" t="n"/>
      <c r="F512" s="10" t="n"/>
      <c r="G512" s="10" t="n"/>
      <c r="H512" s="10" t="n"/>
      <c r="I512" s="10" t="n"/>
    </row>
    <row r="513">
      <c r="A513" s="12" t="n"/>
      <c r="B513" s="10" t="n"/>
      <c r="C513" s="10" t="n"/>
      <c r="D513" s="10" t="n"/>
      <c r="E513" s="10" t="n"/>
      <c r="F513" s="10" t="n"/>
      <c r="G513" s="10" t="n"/>
      <c r="H513" s="10" t="n"/>
      <c r="I513" s="10" t="n"/>
    </row>
    <row r="514">
      <c r="A514" s="12" t="n"/>
      <c r="B514" s="10" t="n"/>
      <c r="C514" s="10" t="n"/>
      <c r="D514" s="10" t="n"/>
      <c r="E514" s="10" t="n"/>
      <c r="F514" s="10" t="n"/>
      <c r="G514" s="10" t="n"/>
      <c r="H514" s="10" t="n"/>
      <c r="I514" s="10" t="n"/>
    </row>
    <row r="515">
      <c r="A515" s="12" t="n"/>
      <c r="B515" s="10" t="n"/>
      <c r="C515" s="10" t="n"/>
      <c r="D515" s="10" t="n"/>
      <c r="E515" s="10" t="n"/>
      <c r="F515" s="10" t="n"/>
      <c r="G515" s="10" t="n"/>
      <c r="H515" s="10" t="n"/>
      <c r="I515" s="10" t="n"/>
    </row>
    <row r="516">
      <c r="A516" s="12" t="n"/>
      <c r="B516" s="10" t="n"/>
      <c r="C516" s="10" t="n"/>
      <c r="D516" s="10" t="n"/>
      <c r="E516" s="10" t="n"/>
      <c r="F516" s="10" t="n"/>
      <c r="G516" s="10" t="n"/>
      <c r="H516" s="10" t="n"/>
      <c r="I516" s="10" t="n"/>
    </row>
    <row r="517">
      <c r="A517" s="12" t="n"/>
      <c r="B517" s="10" t="n"/>
      <c r="C517" s="10" t="n"/>
      <c r="D517" s="10" t="n"/>
      <c r="E517" s="10" t="n"/>
      <c r="F517" s="10" t="n"/>
      <c r="G517" s="10" t="n"/>
      <c r="H517" s="10" t="n"/>
      <c r="I517" s="10" t="n"/>
    </row>
    <row r="518">
      <c r="A518" s="12" t="n"/>
      <c r="B518" s="10" t="n"/>
      <c r="C518" s="10" t="n"/>
      <c r="D518" s="10" t="n"/>
      <c r="E518" s="10" t="n"/>
      <c r="F518" s="10" t="n"/>
      <c r="G518" s="10" t="n"/>
      <c r="H518" s="10" t="n"/>
      <c r="I518" s="10" t="n"/>
    </row>
    <row r="519">
      <c r="A519" s="12" t="n"/>
      <c r="B519" s="10" t="n"/>
      <c r="C519" s="10" t="n"/>
      <c r="D519" s="10" t="n"/>
      <c r="E519" s="10" t="n"/>
      <c r="F519" s="10" t="n"/>
      <c r="G519" s="10" t="n"/>
      <c r="H519" s="10" t="n"/>
      <c r="I519" s="10" t="n"/>
    </row>
    <row r="520">
      <c r="A520" s="12" t="n"/>
      <c r="B520" s="10" t="n"/>
      <c r="C520" s="10" t="n"/>
      <c r="D520" s="10" t="n"/>
      <c r="E520" s="10" t="n"/>
      <c r="F520" s="10" t="n"/>
      <c r="G520" s="10" t="n"/>
      <c r="H520" s="10" t="n"/>
      <c r="I520" s="10" t="n"/>
    </row>
    <row r="521">
      <c r="A521" s="12" t="n"/>
      <c r="B521" s="10" t="n"/>
      <c r="C521" s="10" t="n"/>
      <c r="D521" s="10" t="n"/>
      <c r="E521" s="10" t="n"/>
      <c r="F521" s="10" t="n"/>
      <c r="G521" s="10" t="n"/>
      <c r="H521" s="10" t="n"/>
      <c r="I521" s="10" t="n"/>
    </row>
    <row r="522">
      <c r="A522" s="12" t="n"/>
      <c r="B522" s="10" t="n"/>
      <c r="C522" s="10" t="n"/>
      <c r="D522" s="10" t="n"/>
      <c r="E522" s="10" t="n"/>
      <c r="F522" s="10" t="n"/>
      <c r="G522" s="10" t="n"/>
      <c r="H522" s="10" t="n"/>
      <c r="I522" s="10" t="n"/>
    </row>
    <row r="523">
      <c r="A523" s="12" t="n"/>
      <c r="B523" s="10" t="n"/>
      <c r="C523" s="10" t="n"/>
      <c r="D523" s="10" t="n"/>
      <c r="E523" s="10" t="n"/>
      <c r="F523" s="10" t="n"/>
      <c r="G523" s="10" t="n"/>
      <c r="H523" s="10" t="n"/>
      <c r="I523" s="10" t="n"/>
    </row>
    <row r="524">
      <c r="A524" s="12" t="n"/>
      <c r="B524" s="10" t="n"/>
      <c r="C524" s="10" t="n"/>
      <c r="D524" s="10" t="n"/>
      <c r="E524" s="10" t="n"/>
      <c r="F524" s="10" t="n"/>
      <c r="G524" s="10" t="n"/>
      <c r="H524" s="10" t="n"/>
      <c r="I524" s="10" t="n"/>
    </row>
    <row r="525">
      <c r="A525" s="12" t="n"/>
      <c r="B525" s="10" t="n"/>
      <c r="C525" s="10" t="n"/>
      <c r="D525" s="10" t="n"/>
      <c r="E525" s="10" t="n"/>
      <c r="F525" s="10" t="n"/>
      <c r="G525" s="10" t="n"/>
      <c r="H525" s="10" t="n"/>
      <c r="I525" s="10" t="n"/>
    </row>
    <row r="526">
      <c r="A526" s="12" t="n"/>
      <c r="B526" s="10" t="n"/>
      <c r="C526" s="10" t="n"/>
      <c r="D526" s="10" t="n"/>
      <c r="E526" s="10" t="n"/>
      <c r="F526" s="10" t="n"/>
      <c r="G526" s="10" t="n"/>
      <c r="H526" s="10" t="n"/>
      <c r="I526" s="10" t="n"/>
    </row>
    <row r="527">
      <c r="A527" s="12" t="n"/>
      <c r="B527" s="10" t="n"/>
      <c r="C527" s="10" t="n"/>
      <c r="D527" s="10" t="n"/>
      <c r="E527" s="10" t="n"/>
      <c r="F527" s="10" t="n"/>
      <c r="G527" s="10" t="n"/>
      <c r="H527" s="10" t="n"/>
      <c r="I527" s="10" t="n"/>
    </row>
    <row r="528">
      <c r="A528" s="12" t="n"/>
      <c r="B528" s="10" t="n"/>
      <c r="C528" s="10" t="n"/>
      <c r="D528" s="10" t="n"/>
      <c r="E528" s="10" t="n"/>
      <c r="F528" s="10" t="n"/>
      <c r="G528" s="10" t="n"/>
      <c r="H528" s="10" t="n"/>
      <c r="I528" s="10" t="n"/>
    </row>
    <row r="529">
      <c r="A529" s="12" t="n"/>
      <c r="B529" s="10" t="n"/>
      <c r="C529" s="10" t="n"/>
      <c r="D529" s="10" t="n"/>
      <c r="E529" s="10" t="n"/>
      <c r="F529" s="10" t="n"/>
      <c r="G529" s="10" t="n"/>
      <c r="H529" s="10" t="n"/>
      <c r="I529" s="10" t="n"/>
    </row>
    <row r="530">
      <c r="A530" s="12" t="n"/>
      <c r="B530" s="10" t="n"/>
      <c r="C530" s="10" t="n"/>
      <c r="D530" s="10" t="n"/>
      <c r="E530" s="10" t="n"/>
      <c r="F530" s="10" t="n"/>
      <c r="G530" s="10" t="n"/>
      <c r="H530" s="10" t="n"/>
      <c r="I530" s="10" t="n"/>
    </row>
    <row r="531">
      <c r="A531" s="12" t="n"/>
      <c r="B531" s="10" t="n"/>
      <c r="C531" s="10" t="n"/>
      <c r="D531" s="10" t="n"/>
      <c r="E531" s="10" t="n"/>
      <c r="F531" s="10" t="n"/>
      <c r="G531" s="10" t="n"/>
      <c r="H531" s="10" t="n"/>
      <c r="I531" s="10" t="n"/>
    </row>
    <row r="532">
      <c r="A532" s="12" t="n"/>
      <c r="B532" s="10" t="n"/>
      <c r="C532" s="10" t="n"/>
      <c r="D532" s="10" t="n"/>
      <c r="E532" s="10" t="n"/>
      <c r="F532" s="10" t="n"/>
      <c r="G532" s="10" t="n"/>
      <c r="H532" s="10" t="n"/>
      <c r="I532" s="10" t="n"/>
    </row>
    <row r="533">
      <c r="A533" s="12" t="n"/>
      <c r="B533" s="10" t="n"/>
      <c r="C533" s="10" t="n"/>
      <c r="D533" s="10" t="n"/>
      <c r="E533" s="10" t="n"/>
      <c r="F533" s="10" t="n"/>
      <c r="G533" s="10" t="n"/>
      <c r="H533" s="10" t="n"/>
      <c r="I533" s="10" t="n"/>
    </row>
    <row r="534">
      <c r="A534" s="12" t="n"/>
      <c r="B534" s="10" t="n"/>
      <c r="C534" s="10" t="n"/>
      <c r="D534" s="10" t="n"/>
      <c r="E534" s="10" t="n"/>
      <c r="F534" s="10" t="n"/>
      <c r="G534" s="10" t="n"/>
      <c r="H534" s="10" t="n"/>
      <c r="I534" s="10" t="n"/>
    </row>
    <row r="535">
      <c r="A535" s="12" t="n"/>
      <c r="B535" s="10" t="n"/>
      <c r="C535" s="10" t="n"/>
      <c r="D535" s="10" t="n"/>
      <c r="E535" s="10" t="n"/>
      <c r="F535" s="10" t="n"/>
      <c r="G535" s="10" t="n"/>
      <c r="H535" s="10" t="n"/>
      <c r="I535" s="10" t="n"/>
    </row>
    <row r="536">
      <c r="A536" s="12" t="n"/>
      <c r="B536" s="10" t="n"/>
      <c r="C536" s="10" t="n"/>
      <c r="D536" s="10" t="n"/>
      <c r="E536" s="10" t="n"/>
      <c r="F536" s="10" t="n"/>
      <c r="G536" s="10" t="n"/>
      <c r="H536" s="10" t="n"/>
      <c r="I536" s="10" t="n"/>
    </row>
    <row r="537">
      <c r="A537" s="12" t="n"/>
      <c r="B537" s="10" t="n"/>
      <c r="C537" s="10" t="n"/>
      <c r="D537" s="10" t="n"/>
      <c r="E537" s="10" t="n"/>
      <c r="F537" s="10" t="n"/>
      <c r="G537" s="10" t="n"/>
      <c r="H537" s="10" t="n"/>
      <c r="I537" s="10" t="n"/>
    </row>
    <row r="538">
      <c r="A538" s="12" t="n"/>
      <c r="B538" s="10" t="n"/>
      <c r="C538" s="10" t="n"/>
      <c r="D538" s="10" t="n"/>
      <c r="E538" s="10" t="n"/>
      <c r="F538" s="10" t="n"/>
      <c r="G538" s="10" t="n"/>
      <c r="H538" s="10" t="n"/>
      <c r="I538" s="10" t="n"/>
    </row>
    <row r="539">
      <c r="A539" s="12" t="n"/>
      <c r="B539" s="10" t="n"/>
      <c r="C539" s="10" t="n"/>
      <c r="D539" s="10" t="n"/>
      <c r="E539" s="10" t="n"/>
      <c r="F539" s="10" t="n"/>
      <c r="G539" s="10" t="n"/>
      <c r="H539" s="10" t="n"/>
      <c r="I539" s="10" t="n"/>
    </row>
    <row r="540">
      <c r="A540" s="12" t="n"/>
      <c r="B540" s="10" t="n"/>
      <c r="C540" s="10" t="n"/>
      <c r="D540" s="10" t="n"/>
      <c r="E540" s="10" t="n"/>
      <c r="F540" s="10" t="n"/>
      <c r="G540" s="10" t="n"/>
      <c r="H540" s="10" t="n"/>
      <c r="I540" s="10" t="n"/>
    </row>
    <row r="541">
      <c r="A541" s="12" t="n"/>
      <c r="B541" s="10" t="n"/>
      <c r="C541" s="10" t="n"/>
      <c r="D541" s="10" t="n"/>
      <c r="E541" s="10" t="n"/>
      <c r="F541" s="10" t="n"/>
      <c r="G541" s="10" t="n"/>
      <c r="H541" s="10" t="n"/>
      <c r="I541" s="10" t="n"/>
    </row>
    <row r="542">
      <c r="A542" s="12" t="n"/>
      <c r="B542" s="10" t="n"/>
      <c r="C542" s="10" t="n"/>
      <c r="D542" s="10" t="n"/>
      <c r="E542" s="10" t="n"/>
      <c r="F542" s="10" t="n"/>
      <c r="G542" s="10" t="n"/>
      <c r="H542" s="10" t="n"/>
      <c r="I542" s="10" t="n"/>
    </row>
    <row r="543">
      <c r="A543" s="12" t="n"/>
      <c r="B543" s="10" t="n"/>
      <c r="C543" s="10" t="n"/>
      <c r="D543" s="10" t="n"/>
      <c r="E543" s="10" t="n"/>
      <c r="F543" s="10" t="n"/>
      <c r="G543" s="10" t="n"/>
      <c r="H543" s="10" t="n"/>
      <c r="I543" s="10" t="n"/>
    </row>
    <row r="544">
      <c r="A544" s="12" t="n"/>
      <c r="B544" s="10" t="n"/>
      <c r="C544" s="10" t="n"/>
      <c r="D544" s="10" t="n"/>
      <c r="E544" s="10" t="n"/>
      <c r="F544" s="10" t="n"/>
      <c r="G544" s="10" t="n"/>
      <c r="H544" s="10" t="n"/>
      <c r="I544" s="10" t="n"/>
    </row>
    <row r="545">
      <c r="A545" s="12" t="n"/>
      <c r="B545" s="10" t="n"/>
      <c r="C545" s="10" t="n"/>
      <c r="D545" s="10" t="n"/>
      <c r="E545" s="10" t="n"/>
      <c r="F545" s="10" t="n"/>
      <c r="G545" s="10" t="n"/>
      <c r="H545" s="10" t="n"/>
      <c r="I545" s="10" t="n"/>
    </row>
    <row r="546">
      <c r="A546" s="12" t="n"/>
      <c r="B546" s="10" t="n"/>
      <c r="C546" s="10" t="n"/>
      <c r="D546" s="10" t="n"/>
      <c r="E546" s="10" t="n"/>
      <c r="F546" s="10" t="n"/>
      <c r="G546" s="10" t="n"/>
      <c r="H546" s="10" t="n"/>
      <c r="I546" s="10" t="n"/>
    </row>
    <row r="547">
      <c r="A547" s="12" t="n"/>
      <c r="B547" s="10" t="n"/>
      <c r="C547" s="10" t="n"/>
      <c r="D547" s="10" t="n"/>
      <c r="E547" s="10" t="n"/>
      <c r="F547" s="10" t="n"/>
      <c r="G547" s="10" t="n"/>
      <c r="H547" s="10" t="n"/>
      <c r="I547" s="10" t="n"/>
    </row>
    <row r="548">
      <c r="A548" s="12" t="n"/>
      <c r="B548" s="10" t="n"/>
      <c r="C548" s="10" t="n"/>
      <c r="D548" s="10" t="n"/>
      <c r="E548" s="10" t="n"/>
      <c r="F548" s="10" t="n"/>
      <c r="G548" s="10" t="n"/>
      <c r="H548" s="10" t="n"/>
      <c r="I548" s="10" t="n"/>
    </row>
    <row r="549">
      <c r="A549" s="12" t="n"/>
      <c r="B549" s="10" t="n"/>
      <c r="C549" s="10" t="n"/>
      <c r="D549" s="10" t="n"/>
      <c r="E549" s="10" t="n"/>
      <c r="F549" s="10" t="n"/>
      <c r="G549" s="10" t="n"/>
      <c r="H549" s="10" t="n"/>
      <c r="I549" s="10" t="n"/>
    </row>
    <row r="550">
      <c r="A550" s="12" t="n"/>
      <c r="B550" s="10" t="n"/>
      <c r="C550" s="10" t="n"/>
      <c r="D550" s="10" t="n"/>
      <c r="E550" s="10" t="n"/>
      <c r="F550" s="10" t="n"/>
      <c r="G550" s="10" t="n"/>
      <c r="H550" s="10" t="n"/>
      <c r="I550" s="10" t="n"/>
    </row>
    <row r="551">
      <c r="A551" s="12" t="n"/>
      <c r="B551" s="10" t="n"/>
      <c r="C551" s="10" t="n"/>
      <c r="D551" s="10" t="n"/>
      <c r="E551" s="10" t="n"/>
      <c r="F551" s="10" t="n"/>
      <c r="G551" s="10" t="n"/>
      <c r="H551" s="10" t="n"/>
      <c r="I551" s="10" t="n"/>
    </row>
    <row r="552">
      <c r="A552" s="12" t="n"/>
      <c r="B552" s="10" t="n"/>
      <c r="C552" s="10" t="n"/>
      <c r="D552" s="10" t="n"/>
      <c r="E552" s="10" t="n"/>
      <c r="F552" s="10" t="n"/>
      <c r="G552" s="10" t="n"/>
      <c r="H552" s="10" t="n"/>
      <c r="I552" s="10" t="n"/>
    </row>
    <row r="553">
      <c r="A553" s="12" t="n"/>
      <c r="B553" s="10" t="n"/>
      <c r="C553" s="10" t="n"/>
      <c r="D553" s="10" t="n"/>
      <c r="E553" s="10" t="n"/>
      <c r="F553" s="10" t="n"/>
      <c r="G553" s="10" t="n"/>
      <c r="H553" s="10" t="n"/>
      <c r="I553" s="10" t="n"/>
    </row>
    <row r="554">
      <c r="A554" s="12" t="n"/>
      <c r="B554" s="10" t="n"/>
      <c r="C554" s="10" t="n"/>
      <c r="D554" s="10" t="n"/>
      <c r="E554" s="10" t="n"/>
      <c r="F554" s="10" t="n"/>
      <c r="G554" s="10" t="n"/>
      <c r="H554" s="10" t="n"/>
      <c r="I554" s="10" t="n"/>
    </row>
    <row r="555">
      <c r="A555" s="12" t="n"/>
      <c r="B555" s="10" t="n"/>
      <c r="C555" s="10" t="n"/>
      <c r="D555" s="10" t="n"/>
      <c r="E555" s="10" t="n"/>
      <c r="F555" s="10" t="n"/>
      <c r="G555" s="10" t="n"/>
      <c r="H555" s="10" t="n"/>
      <c r="I555" s="10" t="n"/>
    </row>
    <row r="556">
      <c r="A556" s="12" t="n"/>
      <c r="B556" s="10" t="n"/>
      <c r="C556" s="10" t="n"/>
      <c r="D556" s="10" t="n"/>
      <c r="E556" s="10" t="n"/>
      <c r="F556" s="10" t="n"/>
      <c r="G556" s="10" t="n"/>
      <c r="H556" s="10" t="n"/>
      <c r="I556" s="10" t="n"/>
    </row>
    <row r="557">
      <c r="A557" s="12" t="n"/>
      <c r="B557" s="10" t="n"/>
      <c r="C557" s="10" t="n"/>
      <c r="D557" s="10" t="n"/>
      <c r="E557" s="10" t="n"/>
      <c r="F557" s="10" t="n"/>
      <c r="G557" s="10" t="n"/>
      <c r="H557" s="10" t="n"/>
      <c r="I557" s="10" t="n"/>
    </row>
    <row r="558">
      <c r="A558" s="12" t="n"/>
      <c r="B558" s="10" t="n"/>
      <c r="C558" s="10" t="n"/>
      <c r="D558" s="10" t="n"/>
      <c r="E558" s="10" t="n"/>
      <c r="F558" s="10" t="n"/>
      <c r="G558" s="10" t="n"/>
      <c r="H558" s="10" t="n"/>
      <c r="I558" s="10" t="n"/>
    </row>
    <row r="559">
      <c r="A559" s="12" t="n"/>
      <c r="B559" s="10" t="n"/>
      <c r="C559" s="10" t="n"/>
      <c r="D559" s="10" t="n"/>
      <c r="E559" s="10" t="n"/>
      <c r="F559" s="10" t="n"/>
      <c r="G559" s="10" t="n"/>
      <c r="H559" s="10" t="n"/>
      <c r="I559" s="10" t="n"/>
    </row>
    <row r="560">
      <c r="A560" s="12" t="n"/>
      <c r="B560" s="10" t="n"/>
      <c r="C560" s="10" t="n"/>
      <c r="D560" s="10" t="n"/>
      <c r="E560" s="10" t="n"/>
      <c r="F560" s="10" t="n"/>
      <c r="G560" s="10" t="n"/>
      <c r="H560" s="10" t="n"/>
      <c r="I560" s="10" t="n"/>
    </row>
    <row r="561">
      <c r="A561" s="12" t="n"/>
      <c r="B561" s="10" t="n"/>
      <c r="C561" s="10" t="n"/>
      <c r="D561" s="10" t="n"/>
      <c r="E561" s="10" t="n"/>
      <c r="F561" s="10" t="n"/>
      <c r="G561" s="10" t="n"/>
      <c r="H561" s="10" t="n"/>
      <c r="I561" s="10" t="n"/>
    </row>
    <row r="562">
      <c r="A562" s="12" t="n"/>
      <c r="B562" s="10" t="n"/>
      <c r="C562" s="10" t="n"/>
      <c r="D562" s="10" t="n"/>
      <c r="E562" s="10" t="n"/>
      <c r="F562" s="10" t="n"/>
      <c r="G562" s="10" t="n"/>
      <c r="H562" s="10" t="n"/>
      <c r="I562" s="10" t="n"/>
    </row>
    <row r="563">
      <c r="A563" s="12" t="n"/>
      <c r="B563" s="10" t="n"/>
      <c r="C563" s="10" t="n"/>
      <c r="D563" s="10" t="n"/>
      <c r="E563" s="10" t="n"/>
      <c r="F563" s="10" t="n"/>
      <c r="G563" s="10" t="n"/>
      <c r="H563" s="10" t="n"/>
      <c r="I563" s="10" t="n"/>
    </row>
    <row r="564">
      <c r="A564" s="12" t="n"/>
      <c r="B564" s="10" t="n"/>
      <c r="C564" s="10" t="n"/>
      <c r="D564" s="10" t="n"/>
      <c r="E564" s="10" t="n"/>
      <c r="F564" s="10" t="n"/>
      <c r="G564" s="10" t="n"/>
      <c r="H564" s="10" t="n"/>
      <c r="I564" s="10" t="n"/>
    </row>
    <row r="565">
      <c r="A565" s="12" t="n"/>
      <c r="B565" s="10" t="n"/>
      <c r="C565" s="10" t="n"/>
      <c r="D565" s="10" t="n"/>
      <c r="E565" s="10" t="n"/>
      <c r="F565" s="10" t="n"/>
      <c r="G565" s="10" t="n"/>
      <c r="H565" s="10" t="n"/>
      <c r="I565" s="10" t="n"/>
    </row>
    <row r="566">
      <c r="A566" s="12" t="n"/>
      <c r="B566" s="10" t="n"/>
      <c r="C566" s="10" t="n"/>
      <c r="D566" s="10" t="n"/>
      <c r="E566" s="10" t="n"/>
      <c r="F566" s="10" t="n"/>
      <c r="G566" s="10" t="n"/>
      <c r="H566" s="10" t="n"/>
      <c r="I566" s="10" t="n"/>
    </row>
    <row r="567">
      <c r="A567" s="12" t="n"/>
      <c r="B567" s="10" t="n"/>
      <c r="C567" s="10" t="n"/>
      <c r="D567" s="10" t="n"/>
      <c r="E567" s="10" t="n"/>
      <c r="F567" s="10" t="n"/>
      <c r="G567" s="10" t="n"/>
      <c r="H567" s="10" t="n"/>
      <c r="I567" s="10" t="n"/>
    </row>
    <row r="568">
      <c r="A568" s="12" t="n"/>
      <c r="B568" s="10" t="n"/>
      <c r="C568" s="10" t="n"/>
      <c r="D568" s="10" t="n"/>
      <c r="E568" s="10" t="n"/>
      <c r="F568" s="10" t="n"/>
      <c r="G568" s="10" t="n"/>
      <c r="H568" s="10" t="n"/>
      <c r="I568" s="10" t="n"/>
    </row>
    <row r="569">
      <c r="A569" s="12" t="n"/>
      <c r="B569" s="10" t="n"/>
      <c r="C569" s="10" t="n"/>
      <c r="D569" s="10" t="n"/>
      <c r="E569" s="10" t="n"/>
      <c r="F569" s="10" t="n"/>
      <c r="G569" s="10" t="n"/>
      <c r="H569" s="10" t="n"/>
      <c r="I569" s="10" t="n"/>
    </row>
    <row r="570">
      <c r="A570" s="12" t="n"/>
      <c r="B570" s="10" t="n"/>
      <c r="C570" s="10" t="n"/>
      <c r="D570" s="10" t="n"/>
      <c r="E570" s="10" t="n"/>
      <c r="F570" s="10" t="n"/>
      <c r="G570" s="10" t="n"/>
      <c r="H570" s="10" t="n"/>
      <c r="I570" s="10" t="n"/>
    </row>
    <row r="571">
      <c r="A571" s="12" t="n"/>
      <c r="B571" s="10" t="n"/>
      <c r="C571" s="10" t="n"/>
      <c r="D571" s="10" t="n"/>
      <c r="E571" s="10" t="n"/>
      <c r="F571" s="10" t="n"/>
      <c r="G571" s="10" t="n"/>
      <c r="H571" s="10" t="n"/>
      <c r="I571" s="10" t="n"/>
    </row>
    <row r="572">
      <c r="A572" s="12" t="n"/>
      <c r="B572" s="10" t="n"/>
      <c r="C572" s="10" t="n"/>
      <c r="D572" s="10" t="n"/>
      <c r="E572" s="10" t="n"/>
      <c r="F572" s="10" t="n"/>
      <c r="G572" s="10" t="n"/>
      <c r="H572" s="10" t="n"/>
      <c r="I572" s="10" t="n"/>
    </row>
    <row r="573">
      <c r="A573" s="12" t="n"/>
      <c r="B573" s="10" t="n"/>
      <c r="C573" s="10" t="n"/>
      <c r="D573" s="10" t="n"/>
      <c r="E573" s="10" t="n"/>
      <c r="F573" s="10" t="n"/>
      <c r="G573" s="10" t="n"/>
      <c r="H573" s="10" t="n"/>
      <c r="I573" s="10" t="n"/>
    </row>
    <row r="574">
      <c r="A574" s="12" t="n"/>
      <c r="B574" s="10" t="n"/>
      <c r="C574" s="10" t="n"/>
      <c r="D574" s="10" t="n"/>
      <c r="E574" s="10" t="n"/>
      <c r="F574" s="10" t="n"/>
      <c r="G574" s="10" t="n"/>
      <c r="H574" s="10" t="n"/>
      <c r="I574" s="10" t="n"/>
    </row>
    <row r="575">
      <c r="A575" s="12" t="n"/>
      <c r="B575" s="10" t="n"/>
      <c r="C575" s="10" t="n"/>
      <c r="D575" s="10" t="n"/>
      <c r="E575" s="10" t="n"/>
      <c r="F575" s="10" t="n"/>
      <c r="G575" s="10" t="n"/>
      <c r="H575" s="10" t="n"/>
      <c r="I575" s="10" t="n"/>
    </row>
    <row r="576">
      <c r="A576" s="12" t="n"/>
      <c r="B576" s="10" t="n"/>
      <c r="C576" s="10" t="n"/>
      <c r="D576" s="10" t="n"/>
      <c r="E576" s="10" t="n"/>
      <c r="F576" s="10" t="n"/>
      <c r="G576" s="10" t="n"/>
      <c r="H576" s="10" t="n"/>
      <c r="I576" s="10" t="n"/>
    </row>
    <row r="577">
      <c r="A577" s="12" t="n"/>
      <c r="B577" s="10" t="n"/>
      <c r="C577" s="10" t="n"/>
      <c r="D577" s="10" t="n"/>
      <c r="E577" s="10" t="n"/>
      <c r="F577" s="10" t="n"/>
      <c r="G577" s="10" t="n"/>
      <c r="H577" s="10" t="n"/>
      <c r="I577" s="10" t="n"/>
    </row>
    <row r="578">
      <c r="A578" s="12" t="n"/>
      <c r="B578" s="10" t="n"/>
      <c r="C578" s="10" t="n"/>
      <c r="D578" s="10" t="n"/>
      <c r="E578" s="10" t="n"/>
      <c r="F578" s="10" t="n"/>
      <c r="G578" s="10" t="n"/>
      <c r="H578" s="10" t="n"/>
      <c r="I578" s="10" t="n"/>
    </row>
    <row r="579">
      <c r="A579" s="12" t="n"/>
      <c r="B579" s="10" t="n"/>
      <c r="C579" s="10" t="n"/>
      <c r="D579" s="10" t="n"/>
      <c r="E579" s="10" t="n"/>
      <c r="F579" s="10" t="n"/>
      <c r="G579" s="10" t="n"/>
      <c r="H579" s="10" t="n"/>
      <c r="I579" s="10" t="n"/>
    </row>
    <row r="580">
      <c r="A580" s="12" t="n"/>
      <c r="B580" s="10" t="n"/>
      <c r="C580" s="10" t="n"/>
      <c r="D580" s="10" t="n"/>
      <c r="E580" s="10" t="n"/>
      <c r="F580" s="10" t="n"/>
      <c r="G580" s="10" t="n"/>
      <c r="H580" s="10" t="n"/>
      <c r="I580" s="10" t="n"/>
    </row>
    <row r="581">
      <c r="A581" s="12" t="n"/>
      <c r="B581" s="10" t="n"/>
      <c r="C581" s="10" t="n"/>
      <c r="D581" s="10" t="n"/>
      <c r="E581" s="10" t="n"/>
      <c r="F581" s="10" t="n"/>
      <c r="G581" s="10" t="n"/>
      <c r="H581" s="10" t="n"/>
      <c r="I581" s="10" t="n"/>
    </row>
    <row r="582">
      <c r="A582" s="12" t="n"/>
      <c r="B582" s="10" t="n"/>
      <c r="C582" s="10" t="n"/>
      <c r="D582" s="10" t="n"/>
      <c r="E582" s="10" t="n"/>
      <c r="F582" s="10" t="n"/>
      <c r="G582" s="10" t="n"/>
      <c r="H582" s="10" t="n"/>
      <c r="I582" s="10" t="n"/>
    </row>
    <row r="583">
      <c r="A583" s="12" t="n"/>
      <c r="B583" s="10" t="n"/>
      <c r="C583" s="10" t="n"/>
      <c r="D583" s="10" t="n"/>
      <c r="E583" s="10" t="n"/>
      <c r="F583" s="10" t="n"/>
      <c r="G583" s="10" t="n"/>
      <c r="H583" s="10" t="n"/>
      <c r="I583" s="10" t="n"/>
    </row>
    <row r="584">
      <c r="A584" s="12" t="n"/>
      <c r="B584" s="10" t="n"/>
      <c r="C584" s="10" t="n"/>
      <c r="D584" s="10" t="n"/>
      <c r="E584" s="10" t="n"/>
      <c r="F584" s="10" t="n"/>
      <c r="G584" s="10" t="n"/>
      <c r="H584" s="10" t="n"/>
      <c r="I584" s="10" t="n"/>
    </row>
    <row r="585">
      <c r="A585" s="12" t="n"/>
      <c r="B585" s="10" t="n"/>
      <c r="C585" s="10" t="n"/>
      <c r="D585" s="10" t="n"/>
      <c r="E585" s="10" t="n"/>
      <c r="F585" s="10" t="n"/>
      <c r="G585" s="10" t="n"/>
      <c r="H585" s="10" t="n"/>
      <c r="I585" s="10" t="n"/>
    </row>
    <row r="586">
      <c r="A586" s="12" t="n"/>
      <c r="B586" s="10" t="n"/>
      <c r="C586" s="10" t="n"/>
      <c r="D586" s="10" t="n"/>
      <c r="E586" s="10" t="n"/>
      <c r="F586" s="10" t="n"/>
      <c r="G586" s="10" t="n"/>
      <c r="H586" s="10" t="n"/>
      <c r="I586" s="10" t="n"/>
    </row>
    <row r="587">
      <c r="A587" s="12" t="n"/>
      <c r="B587" s="10" t="n"/>
      <c r="C587" s="10" t="n"/>
      <c r="D587" s="10" t="n"/>
      <c r="E587" s="10" t="n"/>
      <c r="F587" s="10" t="n"/>
      <c r="G587" s="10" t="n"/>
      <c r="H587" s="10" t="n"/>
      <c r="I587" s="10" t="n"/>
    </row>
    <row r="588">
      <c r="A588" s="12" t="n"/>
      <c r="B588" s="10" t="n"/>
      <c r="C588" s="10" t="n"/>
      <c r="D588" s="10" t="n"/>
      <c r="E588" s="10" t="n"/>
      <c r="F588" s="10" t="n"/>
      <c r="G588" s="10" t="n"/>
      <c r="H588" s="10" t="n"/>
      <c r="I588" s="10" t="n"/>
    </row>
    <row r="589">
      <c r="A589" s="12" t="n"/>
      <c r="B589" s="10" t="n"/>
      <c r="C589" s="10" t="n"/>
      <c r="D589" s="10" t="n"/>
      <c r="E589" s="10" t="n"/>
      <c r="F589" s="10" t="n"/>
      <c r="G589" s="10" t="n"/>
      <c r="H589" s="10" t="n"/>
      <c r="I589" s="10" t="n"/>
    </row>
    <row r="590">
      <c r="A590" s="12" t="n"/>
      <c r="B590" s="10" t="n"/>
      <c r="C590" s="10" t="n"/>
      <c r="D590" s="10" t="n"/>
      <c r="E590" s="10" t="n"/>
      <c r="F590" s="10" t="n"/>
      <c r="G590" s="10" t="n"/>
      <c r="H590" s="10" t="n"/>
      <c r="I590" s="10" t="n"/>
    </row>
    <row r="591">
      <c r="A591" s="12" t="n"/>
      <c r="B591" s="10" t="n"/>
      <c r="C591" s="10" t="n"/>
      <c r="D591" s="10" t="n"/>
      <c r="E591" s="10" t="n"/>
      <c r="F591" s="10" t="n"/>
      <c r="G591" s="10" t="n"/>
      <c r="H591" s="10" t="n"/>
      <c r="I591" s="10" t="n"/>
    </row>
    <row r="592">
      <c r="A592" s="12" t="n"/>
      <c r="B592" s="10" t="n"/>
      <c r="C592" s="10" t="n"/>
      <c r="D592" s="10" t="n"/>
      <c r="E592" s="10" t="n"/>
      <c r="F592" s="10" t="n"/>
      <c r="G592" s="10" t="n"/>
      <c r="H592" s="10" t="n"/>
      <c r="I592" s="10" t="n"/>
    </row>
    <row r="593">
      <c r="A593" s="12" t="n"/>
      <c r="B593" s="10" t="n"/>
      <c r="C593" s="10" t="n"/>
      <c r="D593" s="10" t="n"/>
      <c r="E593" s="10" t="n"/>
      <c r="F593" s="10" t="n"/>
      <c r="G593" s="10" t="n"/>
      <c r="H593" s="10" t="n"/>
      <c r="I593" s="10" t="n"/>
    </row>
    <row r="594">
      <c r="A594" s="12" t="n"/>
      <c r="B594" s="10" t="n"/>
      <c r="C594" s="10" t="n"/>
      <c r="D594" s="10" t="n"/>
      <c r="E594" s="10" t="n"/>
      <c r="F594" s="10" t="n"/>
      <c r="G594" s="10" t="n"/>
      <c r="H594" s="10" t="n"/>
      <c r="I594" s="10" t="n"/>
    </row>
    <row r="595">
      <c r="A595" s="12" t="n"/>
      <c r="B595" s="10" t="n"/>
      <c r="C595" s="10" t="n"/>
      <c r="D595" s="10" t="n"/>
      <c r="E595" s="10" t="n"/>
      <c r="F595" s="10" t="n"/>
      <c r="G595" s="10" t="n"/>
      <c r="H595" s="10" t="n"/>
      <c r="I595" s="10" t="n"/>
    </row>
    <row r="596">
      <c r="A596" s="12" t="n"/>
      <c r="B596" s="10" t="n"/>
      <c r="C596" s="10" t="n"/>
      <c r="D596" s="10" t="n"/>
      <c r="E596" s="10" t="n"/>
      <c r="F596" s="10" t="n"/>
      <c r="G596" s="10" t="n"/>
      <c r="H596" s="10" t="n"/>
      <c r="I596" s="10" t="n"/>
    </row>
    <row r="597">
      <c r="A597" s="12" t="n"/>
      <c r="B597" s="10" t="n"/>
      <c r="C597" s="10" t="n"/>
      <c r="D597" s="10" t="n"/>
      <c r="E597" s="10" t="n"/>
      <c r="F597" s="10" t="n"/>
      <c r="G597" s="10" t="n"/>
      <c r="H597" s="10" t="n"/>
      <c r="I597" s="10" t="n"/>
    </row>
    <row r="598">
      <c r="A598" s="12" t="n"/>
      <c r="B598" s="10" t="n"/>
      <c r="C598" s="10" t="n"/>
      <c r="D598" s="10" t="n"/>
      <c r="E598" s="10" t="n"/>
      <c r="F598" s="10" t="n"/>
      <c r="G598" s="10" t="n"/>
      <c r="H598" s="10" t="n"/>
      <c r="I598" s="10" t="n"/>
    </row>
    <row r="599">
      <c r="A599" s="12" t="n"/>
      <c r="B599" s="10" t="n"/>
      <c r="C599" s="10" t="n"/>
      <c r="D599" s="10" t="n"/>
      <c r="E599" s="10" t="n"/>
      <c r="F599" s="10" t="n"/>
      <c r="G599" s="10" t="n"/>
      <c r="H599" s="10" t="n"/>
      <c r="I599" s="10" t="n"/>
    </row>
    <row r="600">
      <c r="A600" s="12" t="n"/>
      <c r="B600" s="10" t="n"/>
      <c r="C600" s="10" t="n"/>
      <c r="D600" s="10" t="n"/>
      <c r="E600" s="10" t="n"/>
      <c r="F600" s="10" t="n"/>
      <c r="G600" s="10" t="n"/>
      <c r="H600" s="10" t="n"/>
      <c r="I600" s="10" t="n"/>
    </row>
  </sheetData>
  <mergeCells count="1">
    <mergeCell ref="A1:I1"/>
  </mergeCells>
  <dataValidations count="5">
    <dataValidation sqref="C3:C600" showDropDown="0" showInputMessage="0" showErrorMessage="0" allowBlank="1" type="list">
      <formula1>"1 - Would pick up at 10pm,2 - Warm, business unknown,3 - Confirmed business, cooler,4 - Harvested referral"</formula1>
    </dataValidation>
    <dataValidation sqref="D3:D600" showDropDown="0" showInputMessage="0" showErrorMessage="0" allowBlank="1" type="list">
      <formula1>"Call,Text,DM,In person,Event"</formula1>
    </dataValidation>
    <dataValidation sqref="E3:E600" showDropDown="0" showInputMessage="0" showErrorMessage="0" allowBlank="1" type="list">
      <formula1>"Conversation,No answer,Left voicemail,Not interested,Wrong timing"</formula1>
    </dataValidation>
    <dataValidation sqref="F3:F600" showDropDown="0" showInputMessage="0" showErrorMessage="0" allowBlank="1" type="list">
      <formula1>"Y,N"</formula1>
    </dataValidation>
    <dataValidation sqref="H3:H6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24" customWidth="1" min="5" max="5"/>
    <col width="15" customWidth="1" min="6" max="6"/>
    <col width="24" customWidth="1" min="7" max="7"/>
    <col width="26" customWidth="1" min="8" max="8"/>
    <col width="18" customWidth="1" min="9" max="9"/>
    <col width="32" customWidth="1" min="10" max="10"/>
    <col width="12" customWidth="1" min="11" max="11"/>
    <col width="28" customWidth="1" min="12" max="12"/>
  </cols>
  <sheetData>
    <row r="1">
      <c r="A1" s="5" t="inlineStr">
        <is>
          <t>Every handoff to Jeremy, including the ones that die. Rule 05: track your no's like they're wins. Bring this to the Friday call.</t>
        </is>
      </c>
    </row>
    <row r="2" ht="30" customHeight="1">
      <c r="A2" s="6" t="inlineStr">
        <is>
          <t>Date sent</t>
        </is>
      </c>
      <c r="B2" s="6" t="inlineStr">
        <is>
          <t>Source</t>
        </is>
      </c>
      <c r="C2" s="6" t="inlineStr">
        <is>
          <t>Sourced by</t>
        </is>
      </c>
      <c r="D2" s="6" t="inlineStr">
        <is>
          <t>Name</t>
        </is>
      </c>
      <c r="E2" s="6" t="inlineStr">
        <is>
          <t>Business</t>
        </is>
      </c>
      <c r="F2" s="6" t="inlineStr">
        <is>
          <t>Phone</t>
        </is>
      </c>
      <c r="G2" s="6" t="inlineStr">
        <is>
          <t>What they're running</t>
        </is>
      </c>
      <c r="H2" s="6" t="inlineStr">
        <is>
          <t>Sent merchant the heads-up text?</t>
        </is>
      </c>
      <c r="I2" s="6" t="inlineStr">
        <is>
          <t>Jeremy status</t>
        </is>
      </c>
      <c r="J2" s="6" t="inlineStr">
        <is>
          <t>Why it didn't work</t>
        </is>
      </c>
      <c r="K2" s="6" t="inlineStr">
        <is>
          <t>Date closed</t>
        </is>
      </c>
      <c r="L2" s="6" t="inlineStr">
        <is>
          <t>Notes</t>
        </is>
      </c>
    </row>
    <row r="3">
      <c r="A3" s="9" t="n">
        <v>46280</v>
      </c>
      <c r="B3" s="7" t="inlineStr">
        <is>
          <t>Referral partner</t>
        </is>
      </c>
      <c r="C3" s="7" t="inlineStr">
        <is>
          <t>Dani (Breakthru liquor rep)</t>
        </is>
      </c>
      <c r="D3" s="7" t="inlineStr">
        <is>
          <t>Marco Ruiz</t>
        </is>
      </c>
      <c r="E3" s="7" t="inlineStr">
        <is>
          <t>Ruiz Hospitality Group</t>
        </is>
      </c>
      <c r="F3" s="7" t="inlineStr">
        <is>
          <t>305-555-0142</t>
        </is>
      </c>
      <c r="G3" s="7" t="inlineStr">
        <is>
          <t>Toast</t>
        </is>
      </c>
      <c r="H3" s="7" t="inlineStr">
        <is>
          <t>Y</t>
        </is>
      </c>
      <c r="I3" s="7" t="inlineStr">
        <is>
          <t>Jeremy contacted</t>
        </is>
      </c>
      <c r="J3" s="7" t="inlineStr"/>
      <c r="K3" s="9" t="inlineStr"/>
      <c r="L3" s="7" t="inlineStr">
        <is>
          <t>Wants to wait for contract end in March</t>
        </is>
      </c>
    </row>
    <row r="4">
      <c r="A4" s="12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2" t="n"/>
      <c r="L4" s="10" t="n"/>
    </row>
    <row r="5">
      <c r="A5" s="12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2" t="n"/>
      <c r="L5" s="10" t="n"/>
    </row>
    <row r="6">
      <c r="A6" s="12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2" t="n"/>
      <c r="L6" s="10" t="n"/>
    </row>
    <row r="7">
      <c r="A7" s="12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2" t="n"/>
      <c r="L7" s="10" t="n"/>
    </row>
    <row r="8">
      <c r="A8" s="12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2" t="n"/>
      <c r="L8" s="10" t="n"/>
    </row>
    <row r="9">
      <c r="A9" s="12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2" t="n"/>
      <c r="L9" s="10" t="n"/>
    </row>
    <row r="10">
      <c r="A10" s="12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2" t="n"/>
      <c r="L10" s="10" t="n"/>
    </row>
    <row r="11">
      <c r="A11" s="12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2" t="n"/>
      <c r="L11" s="10" t="n"/>
    </row>
    <row r="12">
      <c r="A12" s="12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2" t="n"/>
      <c r="L12" s="10" t="n"/>
    </row>
    <row r="13">
      <c r="A13" s="12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2" t="n"/>
      <c r="L13" s="10" t="n"/>
    </row>
    <row r="14">
      <c r="A14" s="12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2" t="n"/>
      <c r="L14" s="10" t="n"/>
    </row>
    <row r="15">
      <c r="A15" s="12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2" t="n"/>
      <c r="L15" s="10" t="n"/>
    </row>
    <row r="16">
      <c r="A16" s="12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2" t="n"/>
      <c r="L16" s="10" t="n"/>
    </row>
    <row r="17">
      <c r="A17" s="12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2" t="n"/>
      <c r="L17" s="10" t="n"/>
    </row>
    <row r="18">
      <c r="A18" s="12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2" t="n"/>
      <c r="L18" s="10" t="n"/>
    </row>
    <row r="19">
      <c r="A19" s="12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2" t="n"/>
      <c r="L19" s="10" t="n"/>
    </row>
    <row r="20">
      <c r="A20" s="12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2" t="n"/>
      <c r="L20" s="10" t="n"/>
    </row>
    <row r="21">
      <c r="A21" s="12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2" t="n"/>
      <c r="L21" s="10" t="n"/>
    </row>
    <row r="22">
      <c r="A22" s="12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2" t="n"/>
      <c r="L22" s="10" t="n"/>
    </row>
    <row r="23">
      <c r="A23" s="12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2" t="n"/>
      <c r="L23" s="10" t="n"/>
    </row>
    <row r="24">
      <c r="A24" s="12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2" t="n"/>
      <c r="L24" s="10" t="n"/>
    </row>
    <row r="25">
      <c r="A25" s="12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2" t="n"/>
      <c r="L25" s="10" t="n"/>
    </row>
    <row r="26">
      <c r="A26" s="12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2" t="n"/>
      <c r="L26" s="10" t="n"/>
    </row>
    <row r="27">
      <c r="A27" s="12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2" t="n"/>
      <c r="L27" s="10" t="n"/>
    </row>
    <row r="28">
      <c r="A28" s="12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2" t="n"/>
      <c r="L28" s="10" t="n"/>
    </row>
    <row r="29">
      <c r="A29" s="12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2" t="n"/>
      <c r="L29" s="10" t="n"/>
    </row>
    <row r="30">
      <c r="A30" s="12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2" t="n"/>
      <c r="L30" s="10" t="n"/>
    </row>
    <row r="31">
      <c r="A31" s="12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2" t="n"/>
      <c r="L31" s="10" t="n"/>
    </row>
    <row r="32">
      <c r="A32" s="12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2" t="n"/>
      <c r="L32" s="10" t="n"/>
    </row>
    <row r="33">
      <c r="A33" s="12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2" t="n"/>
      <c r="L33" s="10" t="n"/>
    </row>
    <row r="34">
      <c r="A34" s="12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2" t="n"/>
      <c r="L34" s="10" t="n"/>
    </row>
    <row r="35">
      <c r="A35" s="12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2" t="n"/>
      <c r="L35" s="10" t="n"/>
    </row>
    <row r="36">
      <c r="A36" s="12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2" t="n"/>
      <c r="L36" s="10" t="n"/>
    </row>
    <row r="37">
      <c r="A37" s="12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2" t="n"/>
      <c r="L37" s="10" t="n"/>
    </row>
    <row r="38">
      <c r="A38" s="12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2" t="n"/>
      <c r="L38" s="10" t="n"/>
    </row>
    <row r="39">
      <c r="A39" s="12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2" t="n"/>
      <c r="L39" s="10" t="n"/>
    </row>
    <row r="40">
      <c r="A40" s="12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2" t="n"/>
      <c r="L40" s="10" t="n"/>
    </row>
    <row r="41">
      <c r="A41" s="12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2" t="n"/>
      <c r="L41" s="10" t="n"/>
    </row>
    <row r="42">
      <c r="A42" s="12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2" t="n"/>
      <c r="L42" s="10" t="n"/>
    </row>
    <row r="43">
      <c r="A43" s="12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2" t="n"/>
      <c r="L43" s="10" t="n"/>
    </row>
    <row r="44">
      <c r="A44" s="12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2" t="n"/>
      <c r="L44" s="10" t="n"/>
    </row>
    <row r="45">
      <c r="A45" s="12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2" t="n"/>
      <c r="L45" s="10" t="n"/>
    </row>
    <row r="46">
      <c r="A46" s="12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2" t="n"/>
      <c r="L46" s="10" t="n"/>
    </row>
    <row r="47">
      <c r="A47" s="12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2" t="n"/>
      <c r="L47" s="10" t="n"/>
    </row>
    <row r="48">
      <c r="A48" s="12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2" t="n"/>
      <c r="L48" s="10" t="n"/>
    </row>
    <row r="49">
      <c r="A49" s="12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2" t="n"/>
      <c r="L49" s="10" t="n"/>
    </row>
    <row r="50">
      <c r="A50" s="12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2" t="n"/>
      <c r="L50" s="10" t="n"/>
    </row>
    <row r="51">
      <c r="A51" s="12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2" t="n"/>
      <c r="L51" s="10" t="n"/>
    </row>
    <row r="52">
      <c r="A52" s="12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2" t="n"/>
      <c r="L52" s="10" t="n"/>
    </row>
    <row r="53">
      <c r="A53" s="12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2" t="n"/>
      <c r="L53" s="10" t="n"/>
    </row>
    <row r="54">
      <c r="A54" s="12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2" t="n"/>
      <c r="L54" s="10" t="n"/>
    </row>
    <row r="55">
      <c r="A55" s="12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2" t="n"/>
      <c r="L55" s="10" t="n"/>
    </row>
    <row r="56">
      <c r="A56" s="12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2" t="n"/>
      <c r="L56" s="10" t="n"/>
    </row>
    <row r="57">
      <c r="A57" s="12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2" t="n"/>
      <c r="L57" s="10" t="n"/>
    </row>
    <row r="58">
      <c r="A58" s="12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2" t="n"/>
      <c r="L58" s="10" t="n"/>
    </row>
    <row r="59">
      <c r="A59" s="12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2" t="n"/>
      <c r="L59" s="10" t="n"/>
    </row>
    <row r="60">
      <c r="A60" s="12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2" t="n"/>
      <c r="L60" s="10" t="n"/>
    </row>
    <row r="61">
      <c r="A61" s="12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2" t="n"/>
      <c r="L61" s="10" t="n"/>
    </row>
    <row r="62">
      <c r="A62" s="12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2" t="n"/>
      <c r="L62" s="10" t="n"/>
    </row>
    <row r="63">
      <c r="A63" s="12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2" t="n"/>
      <c r="L63" s="10" t="n"/>
    </row>
    <row r="64">
      <c r="A64" s="12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2" t="n"/>
      <c r="L64" s="10" t="n"/>
    </row>
    <row r="65">
      <c r="A65" s="12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2" t="n"/>
      <c r="L65" s="10" t="n"/>
    </row>
    <row r="66">
      <c r="A66" s="12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2" t="n"/>
      <c r="L66" s="10" t="n"/>
    </row>
    <row r="67">
      <c r="A67" s="12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2" t="n"/>
      <c r="L67" s="10" t="n"/>
    </row>
    <row r="68">
      <c r="A68" s="12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2" t="n"/>
      <c r="L68" s="10" t="n"/>
    </row>
    <row r="69">
      <c r="A69" s="12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2" t="n"/>
      <c r="L69" s="10" t="n"/>
    </row>
    <row r="70">
      <c r="A70" s="12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2" t="n"/>
      <c r="L70" s="10" t="n"/>
    </row>
    <row r="71">
      <c r="A71" s="12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2" t="n"/>
      <c r="L71" s="10" t="n"/>
    </row>
    <row r="72">
      <c r="A72" s="12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2" t="n"/>
      <c r="L72" s="10" t="n"/>
    </row>
    <row r="73">
      <c r="A73" s="12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2" t="n"/>
      <c r="L73" s="10" t="n"/>
    </row>
    <row r="74">
      <c r="A74" s="12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2" t="n"/>
      <c r="L74" s="10" t="n"/>
    </row>
    <row r="75">
      <c r="A75" s="12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2" t="n"/>
      <c r="L75" s="10" t="n"/>
    </row>
    <row r="76">
      <c r="A76" s="12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2" t="n"/>
      <c r="L76" s="10" t="n"/>
    </row>
    <row r="77">
      <c r="A77" s="12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2" t="n"/>
      <c r="L77" s="10" t="n"/>
    </row>
    <row r="78">
      <c r="A78" s="12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2" t="n"/>
      <c r="L78" s="10" t="n"/>
    </row>
    <row r="79">
      <c r="A79" s="12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2" t="n"/>
      <c r="L79" s="10" t="n"/>
    </row>
    <row r="80">
      <c r="A80" s="12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2" t="n"/>
      <c r="L80" s="10" t="n"/>
    </row>
    <row r="81">
      <c r="A81" s="12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2" t="n"/>
      <c r="L81" s="10" t="n"/>
    </row>
    <row r="82">
      <c r="A82" s="12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2" t="n"/>
      <c r="L82" s="10" t="n"/>
    </row>
    <row r="83">
      <c r="A83" s="12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2" t="n"/>
      <c r="L83" s="10" t="n"/>
    </row>
    <row r="84">
      <c r="A84" s="12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2" t="n"/>
      <c r="L84" s="10" t="n"/>
    </row>
    <row r="85">
      <c r="A85" s="12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2" t="n"/>
      <c r="L85" s="10" t="n"/>
    </row>
    <row r="86">
      <c r="A86" s="12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2" t="n"/>
      <c r="L86" s="10" t="n"/>
    </row>
    <row r="87">
      <c r="A87" s="12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2" t="n"/>
      <c r="L87" s="10" t="n"/>
    </row>
    <row r="88">
      <c r="A88" s="12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2" t="n"/>
      <c r="L88" s="10" t="n"/>
    </row>
    <row r="89">
      <c r="A89" s="12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2" t="n"/>
      <c r="L89" s="10" t="n"/>
    </row>
    <row r="90">
      <c r="A90" s="12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2" t="n"/>
      <c r="L90" s="10" t="n"/>
    </row>
    <row r="91">
      <c r="A91" s="12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2" t="n"/>
      <c r="L91" s="10" t="n"/>
    </row>
    <row r="92">
      <c r="A92" s="12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2" t="n"/>
      <c r="L92" s="10" t="n"/>
    </row>
    <row r="93">
      <c r="A93" s="12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2" t="n"/>
      <c r="L93" s="10" t="n"/>
    </row>
    <row r="94">
      <c r="A94" s="12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2" t="n"/>
      <c r="L94" s="10" t="n"/>
    </row>
    <row r="95">
      <c r="A95" s="12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2" t="n"/>
      <c r="L95" s="10" t="n"/>
    </row>
    <row r="96">
      <c r="A96" s="12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2" t="n"/>
      <c r="L96" s="10" t="n"/>
    </row>
    <row r="97">
      <c r="A97" s="12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2" t="n"/>
      <c r="L97" s="10" t="n"/>
    </row>
    <row r="98">
      <c r="A98" s="12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2" t="n"/>
      <c r="L98" s="10" t="n"/>
    </row>
    <row r="99">
      <c r="A99" s="12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2" t="n"/>
      <c r="L99" s="10" t="n"/>
    </row>
    <row r="100">
      <c r="A100" s="12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2" t="n"/>
      <c r="L100" s="10" t="n"/>
    </row>
    <row r="101">
      <c r="A101" s="12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2" t="n"/>
      <c r="L101" s="10" t="n"/>
    </row>
    <row r="102">
      <c r="A102" s="12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2" t="n"/>
      <c r="L102" s="10" t="n"/>
    </row>
    <row r="103">
      <c r="A103" s="12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2" t="n"/>
      <c r="L103" s="10" t="n"/>
    </row>
    <row r="104">
      <c r="A104" s="12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2" t="n"/>
      <c r="L104" s="10" t="n"/>
    </row>
    <row r="105">
      <c r="A105" s="12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2" t="n"/>
      <c r="L105" s="10" t="n"/>
    </row>
    <row r="106">
      <c r="A106" s="12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2" t="n"/>
      <c r="L106" s="10" t="n"/>
    </row>
    <row r="107">
      <c r="A107" s="12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2" t="n"/>
      <c r="L107" s="10" t="n"/>
    </row>
    <row r="108">
      <c r="A108" s="12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2" t="n"/>
      <c r="L108" s="10" t="n"/>
    </row>
    <row r="109">
      <c r="A109" s="12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2" t="n"/>
      <c r="L109" s="10" t="n"/>
    </row>
    <row r="110">
      <c r="A110" s="12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2" t="n"/>
      <c r="L110" s="10" t="n"/>
    </row>
    <row r="111">
      <c r="A111" s="12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2" t="n"/>
      <c r="L111" s="10" t="n"/>
    </row>
    <row r="112">
      <c r="A112" s="12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2" t="n"/>
      <c r="L112" s="10" t="n"/>
    </row>
    <row r="113">
      <c r="A113" s="12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2" t="n"/>
      <c r="L113" s="10" t="n"/>
    </row>
    <row r="114">
      <c r="A114" s="12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2" t="n"/>
      <c r="L114" s="10" t="n"/>
    </row>
    <row r="115">
      <c r="A115" s="12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2" t="n"/>
      <c r="L115" s="10" t="n"/>
    </row>
    <row r="116">
      <c r="A116" s="12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2" t="n"/>
      <c r="L116" s="10" t="n"/>
    </row>
    <row r="117">
      <c r="A117" s="12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2" t="n"/>
      <c r="L117" s="10" t="n"/>
    </row>
    <row r="118">
      <c r="A118" s="12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2" t="n"/>
      <c r="L118" s="10" t="n"/>
    </row>
    <row r="119">
      <c r="A119" s="12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2" t="n"/>
      <c r="L119" s="10" t="n"/>
    </row>
    <row r="120">
      <c r="A120" s="12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2" t="n"/>
      <c r="L120" s="10" t="n"/>
    </row>
    <row r="121">
      <c r="A121" s="12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2" t="n"/>
      <c r="L121" s="10" t="n"/>
    </row>
    <row r="122">
      <c r="A122" s="12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2" t="n"/>
      <c r="L122" s="10" t="n"/>
    </row>
    <row r="123">
      <c r="A123" s="12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2" t="n"/>
      <c r="L123" s="10" t="n"/>
    </row>
    <row r="124">
      <c r="A124" s="12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2" t="n"/>
      <c r="L124" s="10" t="n"/>
    </row>
    <row r="125">
      <c r="A125" s="12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2" t="n"/>
      <c r="L125" s="10" t="n"/>
    </row>
    <row r="126">
      <c r="A126" s="12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2" t="n"/>
      <c r="L126" s="10" t="n"/>
    </row>
    <row r="127">
      <c r="A127" s="12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2" t="n"/>
      <c r="L127" s="10" t="n"/>
    </row>
    <row r="128">
      <c r="A128" s="12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2" t="n"/>
      <c r="L128" s="10" t="n"/>
    </row>
    <row r="129">
      <c r="A129" s="12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2" t="n"/>
      <c r="L129" s="10" t="n"/>
    </row>
    <row r="130">
      <c r="A130" s="12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2" t="n"/>
      <c r="L130" s="10" t="n"/>
    </row>
    <row r="131">
      <c r="A131" s="12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2" t="n"/>
      <c r="L131" s="10" t="n"/>
    </row>
    <row r="132">
      <c r="A132" s="12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2" t="n"/>
      <c r="L132" s="10" t="n"/>
    </row>
    <row r="133">
      <c r="A133" s="12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2" t="n"/>
      <c r="L133" s="10" t="n"/>
    </row>
    <row r="134">
      <c r="A134" s="12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2" t="n"/>
      <c r="L134" s="10" t="n"/>
    </row>
    <row r="135">
      <c r="A135" s="12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2" t="n"/>
      <c r="L135" s="10" t="n"/>
    </row>
    <row r="136">
      <c r="A136" s="12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2" t="n"/>
      <c r="L136" s="10" t="n"/>
    </row>
    <row r="137">
      <c r="A137" s="12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2" t="n"/>
      <c r="L137" s="10" t="n"/>
    </row>
    <row r="138">
      <c r="A138" s="12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2" t="n"/>
      <c r="L138" s="10" t="n"/>
    </row>
    <row r="139">
      <c r="A139" s="12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2" t="n"/>
      <c r="L139" s="10" t="n"/>
    </row>
    <row r="140">
      <c r="A140" s="12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2" t="n"/>
      <c r="L140" s="10" t="n"/>
    </row>
    <row r="141">
      <c r="A141" s="12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2" t="n"/>
      <c r="L141" s="10" t="n"/>
    </row>
    <row r="142">
      <c r="A142" s="12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2" t="n"/>
      <c r="L142" s="10" t="n"/>
    </row>
    <row r="143">
      <c r="A143" s="12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2" t="n"/>
      <c r="L143" s="10" t="n"/>
    </row>
    <row r="144">
      <c r="A144" s="12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2" t="n"/>
      <c r="L144" s="10" t="n"/>
    </row>
    <row r="145">
      <c r="A145" s="12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2" t="n"/>
      <c r="L145" s="10" t="n"/>
    </row>
    <row r="146">
      <c r="A146" s="12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2" t="n"/>
      <c r="L146" s="10" t="n"/>
    </row>
    <row r="147">
      <c r="A147" s="12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2" t="n"/>
      <c r="L147" s="10" t="n"/>
    </row>
    <row r="148">
      <c r="A148" s="12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2" t="n"/>
      <c r="L148" s="10" t="n"/>
    </row>
    <row r="149">
      <c r="A149" s="12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2" t="n"/>
      <c r="L149" s="10" t="n"/>
    </row>
    <row r="150">
      <c r="A150" s="12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2" t="n"/>
      <c r="L150" s="10" t="n"/>
    </row>
    <row r="151">
      <c r="A151" s="12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2" t="n"/>
      <c r="L151" s="10" t="n"/>
    </row>
    <row r="152">
      <c r="A152" s="12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2" t="n"/>
      <c r="L152" s="10" t="n"/>
    </row>
    <row r="153">
      <c r="A153" s="12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2" t="n"/>
      <c r="L153" s="10" t="n"/>
    </row>
    <row r="154">
      <c r="A154" s="12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2" t="n"/>
      <c r="L154" s="10" t="n"/>
    </row>
    <row r="155">
      <c r="A155" s="12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2" t="n"/>
      <c r="L155" s="10" t="n"/>
    </row>
    <row r="156">
      <c r="A156" s="12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2" t="n"/>
      <c r="L156" s="10" t="n"/>
    </row>
    <row r="157">
      <c r="A157" s="12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2" t="n"/>
      <c r="L157" s="10" t="n"/>
    </row>
    <row r="158">
      <c r="A158" s="12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2" t="n"/>
      <c r="L158" s="10" t="n"/>
    </row>
    <row r="159">
      <c r="A159" s="12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2" t="n"/>
      <c r="L159" s="10" t="n"/>
    </row>
    <row r="160">
      <c r="A160" s="12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2" t="n"/>
      <c r="L160" s="10" t="n"/>
    </row>
    <row r="161">
      <c r="A161" s="12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2" t="n"/>
      <c r="L161" s="10" t="n"/>
    </row>
    <row r="162">
      <c r="A162" s="12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2" t="n"/>
      <c r="L162" s="10" t="n"/>
    </row>
    <row r="163">
      <c r="A163" s="12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2" t="n"/>
      <c r="L163" s="10" t="n"/>
    </row>
    <row r="164">
      <c r="A164" s="12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2" t="n"/>
      <c r="L164" s="10" t="n"/>
    </row>
    <row r="165">
      <c r="A165" s="12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2" t="n"/>
      <c r="L165" s="10" t="n"/>
    </row>
    <row r="166">
      <c r="A166" s="12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2" t="n"/>
      <c r="L166" s="10" t="n"/>
    </row>
    <row r="167">
      <c r="A167" s="12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2" t="n"/>
      <c r="L167" s="10" t="n"/>
    </row>
    <row r="168">
      <c r="A168" s="12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2" t="n"/>
      <c r="L168" s="10" t="n"/>
    </row>
    <row r="169">
      <c r="A169" s="12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2" t="n"/>
      <c r="L169" s="10" t="n"/>
    </row>
    <row r="170">
      <c r="A170" s="12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2" t="n"/>
      <c r="L170" s="10" t="n"/>
    </row>
    <row r="171">
      <c r="A171" s="12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2" t="n"/>
      <c r="L171" s="10" t="n"/>
    </row>
    <row r="172">
      <c r="A172" s="12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2" t="n"/>
      <c r="L172" s="10" t="n"/>
    </row>
    <row r="173">
      <c r="A173" s="12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2" t="n"/>
      <c r="L173" s="10" t="n"/>
    </row>
    <row r="174">
      <c r="A174" s="12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2" t="n"/>
      <c r="L174" s="10" t="n"/>
    </row>
    <row r="175">
      <c r="A175" s="12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2" t="n"/>
      <c r="L175" s="10" t="n"/>
    </row>
    <row r="176">
      <c r="A176" s="12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2" t="n"/>
      <c r="L176" s="10" t="n"/>
    </row>
    <row r="177">
      <c r="A177" s="12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2" t="n"/>
      <c r="L177" s="10" t="n"/>
    </row>
    <row r="178">
      <c r="A178" s="12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2" t="n"/>
      <c r="L178" s="10" t="n"/>
    </row>
    <row r="179">
      <c r="A179" s="12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2" t="n"/>
      <c r="L179" s="10" t="n"/>
    </row>
    <row r="180">
      <c r="A180" s="12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2" t="n"/>
      <c r="L180" s="10" t="n"/>
    </row>
    <row r="181">
      <c r="A181" s="12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2" t="n"/>
      <c r="L181" s="10" t="n"/>
    </row>
    <row r="182">
      <c r="A182" s="12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2" t="n"/>
      <c r="L182" s="10" t="n"/>
    </row>
    <row r="183">
      <c r="A183" s="12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2" t="n"/>
      <c r="L183" s="10" t="n"/>
    </row>
    <row r="184">
      <c r="A184" s="12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2" t="n"/>
      <c r="L184" s="10" t="n"/>
    </row>
    <row r="185">
      <c r="A185" s="12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2" t="n"/>
      <c r="L185" s="10" t="n"/>
    </row>
    <row r="186">
      <c r="A186" s="12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2" t="n"/>
      <c r="L186" s="10" t="n"/>
    </row>
    <row r="187">
      <c r="A187" s="12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2" t="n"/>
      <c r="L187" s="10" t="n"/>
    </row>
    <row r="188">
      <c r="A188" s="12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2" t="n"/>
      <c r="L188" s="10" t="n"/>
    </row>
    <row r="189">
      <c r="A189" s="12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2" t="n"/>
      <c r="L189" s="10" t="n"/>
    </row>
    <row r="190">
      <c r="A190" s="12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2" t="n"/>
      <c r="L190" s="10" t="n"/>
    </row>
    <row r="191">
      <c r="A191" s="12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2" t="n"/>
      <c r="L191" s="10" t="n"/>
    </row>
    <row r="192">
      <c r="A192" s="12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2" t="n"/>
      <c r="L192" s="10" t="n"/>
    </row>
    <row r="193">
      <c r="A193" s="12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2" t="n"/>
      <c r="L193" s="10" t="n"/>
    </row>
    <row r="194">
      <c r="A194" s="12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2" t="n"/>
      <c r="L194" s="10" t="n"/>
    </row>
    <row r="195">
      <c r="A195" s="12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2" t="n"/>
      <c r="L195" s="10" t="n"/>
    </row>
    <row r="196">
      <c r="A196" s="12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2" t="n"/>
      <c r="L196" s="10" t="n"/>
    </row>
    <row r="197">
      <c r="A197" s="12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2" t="n"/>
      <c r="L197" s="10" t="n"/>
    </row>
    <row r="198">
      <c r="A198" s="12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2" t="n"/>
      <c r="L198" s="10" t="n"/>
    </row>
    <row r="199">
      <c r="A199" s="12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2" t="n"/>
      <c r="L199" s="10" t="n"/>
    </row>
    <row r="200">
      <c r="A200" s="12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2" t="n"/>
      <c r="L200" s="10" t="n"/>
    </row>
    <row r="201">
      <c r="A201" s="12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2" t="n"/>
      <c r="L201" s="10" t="n"/>
    </row>
    <row r="202">
      <c r="A202" s="12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2" t="n"/>
      <c r="L202" s="10" t="n"/>
    </row>
    <row r="203">
      <c r="A203" s="12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2" t="n"/>
      <c r="L203" s="10" t="n"/>
    </row>
    <row r="204">
      <c r="A204" s="12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2" t="n"/>
      <c r="L204" s="10" t="n"/>
    </row>
    <row r="205">
      <c r="A205" s="12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2" t="n"/>
      <c r="L205" s="10" t="n"/>
    </row>
    <row r="206">
      <c r="A206" s="12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2" t="n"/>
      <c r="L206" s="10" t="n"/>
    </row>
    <row r="207">
      <c r="A207" s="12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2" t="n"/>
      <c r="L207" s="10" t="n"/>
    </row>
    <row r="208">
      <c r="A208" s="12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2" t="n"/>
      <c r="L208" s="10" t="n"/>
    </row>
    <row r="209">
      <c r="A209" s="12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2" t="n"/>
      <c r="L209" s="10" t="n"/>
    </row>
    <row r="210">
      <c r="A210" s="12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2" t="n"/>
      <c r="L210" s="10" t="n"/>
    </row>
    <row r="211">
      <c r="A211" s="12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2" t="n"/>
      <c r="L211" s="10" t="n"/>
    </row>
    <row r="212">
      <c r="A212" s="12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2" t="n"/>
      <c r="L212" s="10" t="n"/>
    </row>
    <row r="213">
      <c r="A213" s="12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2" t="n"/>
      <c r="L213" s="10" t="n"/>
    </row>
    <row r="214">
      <c r="A214" s="12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2" t="n"/>
      <c r="L214" s="10" t="n"/>
    </row>
    <row r="215">
      <c r="A215" s="12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2" t="n"/>
      <c r="L215" s="10" t="n"/>
    </row>
    <row r="216">
      <c r="A216" s="12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2" t="n"/>
      <c r="L216" s="10" t="n"/>
    </row>
    <row r="217">
      <c r="A217" s="12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2" t="n"/>
      <c r="L217" s="10" t="n"/>
    </row>
    <row r="218">
      <c r="A218" s="12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2" t="n"/>
      <c r="L218" s="10" t="n"/>
    </row>
    <row r="219">
      <c r="A219" s="12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2" t="n"/>
      <c r="L219" s="10" t="n"/>
    </row>
    <row r="220">
      <c r="A220" s="12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2" t="n"/>
      <c r="L220" s="10" t="n"/>
    </row>
    <row r="221">
      <c r="A221" s="12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2" t="n"/>
      <c r="L221" s="10" t="n"/>
    </row>
    <row r="222">
      <c r="A222" s="12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2" t="n"/>
      <c r="L222" s="10" t="n"/>
    </row>
    <row r="223">
      <c r="A223" s="12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2" t="n"/>
      <c r="L223" s="10" t="n"/>
    </row>
    <row r="224">
      <c r="A224" s="12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2" t="n"/>
      <c r="L224" s="10" t="n"/>
    </row>
    <row r="225">
      <c r="A225" s="12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2" t="n"/>
      <c r="L225" s="10" t="n"/>
    </row>
    <row r="226">
      <c r="A226" s="12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2" t="n"/>
      <c r="L226" s="10" t="n"/>
    </row>
    <row r="227">
      <c r="A227" s="12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2" t="n"/>
      <c r="L227" s="10" t="n"/>
    </row>
    <row r="228">
      <c r="A228" s="12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2" t="n"/>
      <c r="L228" s="10" t="n"/>
    </row>
    <row r="229">
      <c r="A229" s="12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2" t="n"/>
      <c r="L229" s="10" t="n"/>
    </row>
    <row r="230">
      <c r="A230" s="12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2" t="n"/>
      <c r="L230" s="10" t="n"/>
    </row>
    <row r="231">
      <c r="A231" s="12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2" t="n"/>
      <c r="L231" s="10" t="n"/>
    </row>
    <row r="232">
      <c r="A232" s="12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2" t="n"/>
      <c r="L232" s="10" t="n"/>
    </row>
    <row r="233">
      <c r="A233" s="12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2" t="n"/>
      <c r="L233" s="10" t="n"/>
    </row>
    <row r="234">
      <c r="A234" s="12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2" t="n"/>
      <c r="L234" s="10" t="n"/>
    </row>
    <row r="235">
      <c r="A235" s="12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2" t="n"/>
      <c r="L235" s="10" t="n"/>
    </row>
    <row r="236">
      <c r="A236" s="12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2" t="n"/>
      <c r="L236" s="10" t="n"/>
    </row>
    <row r="237">
      <c r="A237" s="12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2" t="n"/>
      <c r="L237" s="10" t="n"/>
    </row>
    <row r="238">
      <c r="A238" s="12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2" t="n"/>
      <c r="L238" s="10" t="n"/>
    </row>
    <row r="239">
      <c r="A239" s="12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2" t="n"/>
      <c r="L239" s="10" t="n"/>
    </row>
    <row r="240">
      <c r="A240" s="12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2" t="n"/>
      <c r="L240" s="10" t="n"/>
    </row>
    <row r="241">
      <c r="A241" s="12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2" t="n"/>
      <c r="L241" s="10" t="n"/>
    </row>
    <row r="242">
      <c r="A242" s="12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2" t="n"/>
      <c r="L242" s="10" t="n"/>
    </row>
    <row r="243">
      <c r="A243" s="12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2" t="n"/>
      <c r="L243" s="10" t="n"/>
    </row>
    <row r="244">
      <c r="A244" s="12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2" t="n"/>
      <c r="L244" s="10" t="n"/>
    </row>
    <row r="245">
      <c r="A245" s="12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2" t="n"/>
      <c r="L245" s="10" t="n"/>
    </row>
    <row r="246">
      <c r="A246" s="12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2" t="n"/>
      <c r="L246" s="10" t="n"/>
    </row>
    <row r="247">
      <c r="A247" s="12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2" t="n"/>
      <c r="L247" s="10" t="n"/>
    </row>
    <row r="248">
      <c r="A248" s="12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2" t="n"/>
      <c r="L248" s="10" t="n"/>
    </row>
    <row r="249">
      <c r="A249" s="12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2" t="n"/>
      <c r="L249" s="10" t="n"/>
    </row>
    <row r="250">
      <c r="A250" s="12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2" t="n"/>
      <c r="L250" s="10" t="n"/>
    </row>
    <row r="251">
      <c r="A251" s="12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2" t="n"/>
      <c r="L251" s="10" t="n"/>
    </row>
    <row r="252">
      <c r="A252" s="12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2" t="n"/>
      <c r="L252" s="10" t="n"/>
    </row>
    <row r="253">
      <c r="A253" s="12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2" t="n"/>
      <c r="L253" s="10" t="n"/>
    </row>
    <row r="254">
      <c r="A254" s="12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2" t="n"/>
      <c r="L254" s="10" t="n"/>
    </row>
    <row r="255">
      <c r="A255" s="12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2" t="n"/>
      <c r="L255" s="10" t="n"/>
    </row>
    <row r="256">
      <c r="A256" s="12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2" t="n"/>
      <c r="L256" s="10" t="n"/>
    </row>
    <row r="257">
      <c r="A257" s="12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2" t="n"/>
      <c r="L257" s="10" t="n"/>
    </row>
    <row r="258">
      <c r="A258" s="12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2" t="n"/>
      <c r="L258" s="10" t="n"/>
    </row>
    <row r="259">
      <c r="A259" s="12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2" t="n"/>
      <c r="L259" s="10" t="n"/>
    </row>
    <row r="260">
      <c r="A260" s="12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2" t="n"/>
      <c r="L260" s="10" t="n"/>
    </row>
    <row r="261">
      <c r="A261" s="12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2" t="n"/>
      <c r="L261" s="10" t="n"/>
    </row>
    <row r="262">
      <c r="A262" s="12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2" t="n"/>
      <c r="L262" s="10" t="n"/>
    </row>
    <row r="263">
      <c r="A263" s="12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2" t="n"/>
      <c r="L263" s="10" t="n"/>
    </row>
    <row r="264">
      <c r="A264" s="12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2" t="n"/>
      <c r="L264" s="10" t="n"/>
    </row>
    <row r="265">
      <c r="A265" s="12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2" t="n"/>
      <c r="L265" s="10" t="n"/>
    </row>
    <row r="266">
      <c r="A266" s="12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2" t="n"/>
      <c r="L266" s="10" t="n"/>
    </row>
    <row r="267">
      <c r="A267" s="12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2" t="n"/>
      <c r="L267" s="10" t="n"/>
    </row>
    <row r="268">
      <c r="A268" s="12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2" t="n"/>
      <c r="L268" s="10" t="n"/>
    </row>
    <row r="269">
      <c r="A269" s="12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2" t="n"/>
      <c r="L269" s="10" t="n"/>
    </row>
    <row r="270">
      <c r="A270" s="12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2" t="n"/>
      <c r="L270" s="10" t="n"/>
    </row>
    <row r="271">
      <c r="A271" s="12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2" t="n"/>
      <c r="L271" s="10" t="n"/>
    </row>
    <row r="272">
      <c r="A272" s="12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2" t="n"/>
      <c r="L272" s="10" t="n"/>
    </row>
    <row r="273">
      <c r="A273" s="12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2" t="n"/>
      <c r="L273" s="10" t="n"/>
    </row>
    <row r="274">
      <c r="A274" s="12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2" t="n"/>
      <c r="L274" s="10" t="n"/>
    </row>
    <row r="275">
      <c r="A275" s="12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2" t="n"/>
      <c r="L275" s="10" t="n"/>
    </row>
    <row r="276">
      <c r="A276" s="12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2" t="n"/>
      <c r="L276" s="10" t="n"/>
    </row>
    <row r="277">
      <c r="A277" s="12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2" t="n"/>
      <c r="L277" s="10" t="n"/>
    </row>
    <row r="278">
      <c r="A278" s="12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2" t="n"/>
      <c r="L278" s="10" t="n"/>
    </row>
    <row r="279">
      <c r="A279" s="12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2" t="n"/>
      <c r="L279" s="10" t="n"/>
    </row>
    <row r="280">
      <c r="A280" s="12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2" t="n"/>
      <c r="L280" s="10" t="n"/>
    </row>
    <row r="281">
      <c r="A281" s="12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2" t="n"/>
      <c r="L281" s="10" t="n"/>
    </row>
    <row r="282">
      <c r="A282" s="12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2" t="n"/>
      <c r="L282" s="10" t="n"/>
    </row>
    <row r="283">
      <c r="A283" s="12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2" t="n"/>
      <c r="L283" s="10" t="n"/>
    </row>
    <row r="284">
      <c r="A284" s="12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2" t="n"/>
      <c r="L284" s="10" t="n"/>
    </row>
    <row r="285">
      <c r="A285" s="12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2" t="n"/>
      <c r="L285" s="10" t="n"/>
    </row>
    <row r="286">
      <c r="A286" s="12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2" t="n"/>
      <c r="L286" s="10" t="n"/>
    </row>
    <row r="287">
      <c r="A287" s="12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2" t="n"/>
      <c r="L287" s="10" t="n"/>
    </row>
    <row r="288">
      <c r="A288" s="12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2" t="n"/>
      <c r="L288" s="10" t="n"/>
    </row>
    <row r="289">
      <c r="A289" s="12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2" t="n"/>
      <c r="L289" s="10" t="n"/>
    </row>
    <row r="290">
      <c r="A290" s="12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2" t="n"/>
      <c r="L290" s="10" t="n"/>
    </row>
    <row r="291">
      <c r="A291" s="12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2" t="n"/>
      <c r="L291" s="10" t="n"/>
    </row>
    <row r="292">
      <c r="A292" s="12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2" t="n"/>
      <c r="L292" s="10" t="n"/>
    </row>
    <row r="293">
      <c r="A293" s="12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2" t="n"/>
      <c r="L293" s="10" t="n"/>
    </row>
    <row r="294">
      <c r="A294" s="12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2" t="n"/>
      <c r="L294" s="10" t="n"/>
    </row>
    <row r="295">
      <c r="A295" s="12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2" t="n"/>
      <c r="L295" s="10" t="n"/>
    </row>
    <row r="296">
      <c r="A296" s="12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2" t="n"/>
      <c r="L296" s="10" t="n"/>
    </row>
    <row r="297">
      <c r="A297" s="12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2" t="n"/>
      <c r="L297" s="10" t="n"/>
    </row>
    <row r="298">
      <c r="A298" s="12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2" t="n"/>
      <c r="L298" s="10" t="n"/>
    </row>
    <row r="299">
      <c r="A299" s="12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2" t="n"/>
      <c r="L299" s="10" t="n"/>
    </row>
    <row r="300">
      <c r="A300" s="12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2" t="n"/>
      <c r="L300" s="10" t="n"/>
    </row>
    <row r="301">
      <c r="A301" s="12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2" t="n"/>
      <c r="L301" s="10" t="n"/>
    </row>
    <row r="302">
      <c r="A302" s="12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2" t="n"/>
      <c r="L302" s="10" t="n"/>
    </row>
    <row r="303">
      <c r="A303" s="12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2" t="n"/>
      <c r="L303" s="10" t="n"/>
    </row>
    <row r="304">
      <c r="A304" s="12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2" t="n"/>
      <c r="L304" s="10" t="n"/>
    </row>
    <row r="305">
      <c r="A305" s="12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2" t="n"/>
      <c r="L305" s="10" t="n"/>
    </row>
    <row r="306">
      <c r="A306" s="12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2" t="n"/>
      <c r="L306" s="10" t="n"/>
    </row>
    <row r="307">
      <c r="A307" s="12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2" t="n"/>
      <c r="L307" s="10" t="n"/>
    </row>
    <row r="308">
      <c r="A308" s="12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2" t="n"/>
      <c r="L308" s="10" t="n"/>
    </row>
    <row r="309">
      <c r="A309" s="12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2" t="n"/>
      <c r="L309" s="10" t="n"/>
    </row>
    <row r="310">
      <c r="A310" s="12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2" t="n"/>
      <c r="L310" s="10" t="n"/>
    </row>
    <row r="311">
      <c r="A311" s="12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2" t="n"/>
      <c r="L311" s="10" t="n"/>
    </row>
    <row r="312">
      <c r="A312" s="12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2" t="n"/>
      <c r="L312" s="10" t="n"/>
    </row>
    <row r="313">
      <c r="A313" s="12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2" t="n"/>
      <c r="L313" s="10" t="n"/>
    </row>
    <row r="314">
      <c r="A314" s="12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2" t="n"/>
      <c r="L314" s="10" t="n"/>
    </row>
    <row r="315">
      <c r="A315" s="12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2" t="n"/>
      <c r="L315" s="10" t="n"/>
    </row>
    <row r="316">
      <c r="A316" s="12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2" t="n"/>
      <c r="L316" s="10" t="n"/>
    </row>
    <row r="317">
      <c r="A317" s="12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2" t="n"/>
      <c r="L317" s="10" t="n"/>
    </row>
    <row r="318">
      <c r="A318" s="12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2" t="n"/>
      <c r="L318" s="10" t="n"/>
    </row>
    <row r="319">
      <c r="A319" s="12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2" t="n"/>
      <c r="L319" s="10" t="n"/>
    </row>
    <row r="320">
      <c r="A320" s="12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2" t="n"/>
      <c r="L320" s="10" t="n"/>
    </row>
    <row r="321">
      <c r="A321" s="12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2" t="n"/>
      <c r="L321" s="10" t="n"/>
    </row>
    <row r="322">
      <c r="A322" s="12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2" t="n"/>
      <c r="L322" s="10" t="n"/>
    </row>
    <row r="323">
      <c r="A323" s="12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2" t="n"/>
      <c r="L323" s="10" t="n"/>
    </row>
    <row r="324">
      <c r="A324" s="12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2" t="n"/>
      <c r="L324" s="10" t="n"/>
    </row>
    <row r="325">
      <c r="A325" s="12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2" t="n"/>
      <c r="L325" s="10" t="n"/>
    </row>
    <row r="326">
      <c r="A326" s="12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2" t="n"/>
      <c r="L326" s="10" t="n"/>
    </row>
    <row r="327">
      <c r="A327" s="12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2" t="n"/>
      <c r="L327" s="10" t="n"/>
    </row>
    <row r="328">
      <c r="A328" s="12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2" t="n"/>
      <c r="L328" s="10" t="n"/>
    </row>
    <row r="329">
      <c r="A329" s="12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2" t="n"/>
      <c r="L329" s="10" t="n"/>
    </row>
    <row r="330">
      <c r="A330" s="12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2" t="n"/>
      <c r="L330" s="10" t="n"/>
    </row>
    <row r="331">
      <c r="A331" s="12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2" t="n"/>
      <c r="L331" s="10" t="n"/>
    </row>
    <row r="332">
      <c r="A332" s="12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2" t="n"/>
      <c r="L332" s="10" t="n"/>
    </row>
    <row r="333">
      <c r="A333" s="12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2" t="n"/>
      <c r="L333" s="10" t="n"/>
    </row>
    <row r="334">
      <c r="A334" s="12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2" t="n"/>
      <c r="L334" s="10" t="n"/>
    </row>
    <row r="335">
      <c r="A335" s="12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2" t="n"/>
      <c r="L335" s="10" t="n"/>
    </row>
    <row r="336">
      <c r="A336" s="12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2" t="n"/>
      <c r="L336" s="10" t="n"/>
    </row>
    <row r="337">
      <c r="A337" s="12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2" t="n"/>
      <c r="L337" s="10" t="n"/>
    </row>
    <row r="338">
      <c r="A338" s="12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2" t="n"/>
      <c r="L338" s="10" t="n"/>
    </row>
    <row r="339">
      <c r="A339" s="12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2" t="n"/>
      <c r="L339" s="10" t="n"/>
    </row>
    <row r="340">
      <c r="A340" s="12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2" t="n"/>
      <c r="L340" s="10" t="n"/>
    </row>
    <row r="341">
      <c r="A341" s="12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2" t="n"/>
      <c r="L341" s="10" t="n"/>
    </row>
    <row r="342">
      <c r="A342" s="12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2" t="n"/>
      <c r="L342" s="10" t="n"/>
    </row>
    <row r="343">
      <c r="A343" s="12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2" t="n"/>
      <c r="L343" s="10" t="n"/>
    </row>
    <row r="344">
      <c r="A344" s="12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2" t="n"/>
      <c r="L344" s="10" t="n"/>
    </row>
    <row r="345">
      <c r="A345" s="12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2" t="n"/>
      <c r="L345" s="10" t="n"/>
    </row>
    <row r="346">
      <c r="A346" s="12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2" t="n"/>
      <c r="L346" s="10" t="n"/>
    </row>
    <row r="347">
      <c r="A347" s="12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2" t="n"/>
      <c r="L347" s="10" t="n"/>
    </row>
    <row r="348">
      <c r="A348" s="12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2" t="n"/>
      <c r="L348" s="10" t="n"/>
    </row>
    <row r="349">
      <c r="A349" s="12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2" t="n"/>
      <c r="L349" s="10" t="n"/>
    </row>
    <row r="350">
      <c r="A350" s="12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2" t="n"/>
      <c r="L350" s="10" t="n"/>
    </row>
    <row r="351">
      <c r="A351" s="12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2" t="n"/>
      <c r="L351" s="10" t="n"/>
    </row>
    <row r="352">
      <c r="A352" s="12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2" t="n"/>
      <c r="L352" s="10" t="n"/>
    </row>
    <row r="353">
      <c r="A353" s="12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2" t="n"/>
      <c r="L353" s="10" t="n"/>
    </row>
    <row r="354">
      <c r="A354" s="12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2" t="n"/>
      <c r="L354" s="10" t="n"/>
    </row>
    <row r="355">
      <c r="A355" s="12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2" t="n"/>
      <c r="L355" s="10" t="n"/>
    </row>
    <row r="356">
      <c r="A356" s="12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2" t="n"/>
      <c r="L356" s="10" t="n"/>
    </row>
    <row r="357">
      <c r="A357" s="12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2" t="n"/>
      <c r="L357" s="10" t="n"/>
    </row>
    <row r="358">
      <c r="A358" s="12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2" t="n"/>
      <c r="L358" s="10" t="n"/>
    </row>
    <row r="359">
      <c r="A359" s="12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2" t="n"/>
      <c r="L359" s="10" t="n"/>
    </row>
    <row r="360">
      <c r="A360" s="12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2" t="n"/>
      <c r="L360" s="10" t="n"/>
    </row>
    <row r="361">
      <c r="A361" s="12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2" t="n"/>
      <c r="L361" s="10" t="n"/>
    </row>
    <row r="362">
      <c r="A362" s="12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2" t="n"/>
      <c r="L362" s="10" t="n"/>
    </row>
    <row r="363">
      <c r="A363" s="12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2" t="n"/>
      <c r="L363" s="10" t="n"/>
    </row>
    <row r="364">
      <c r="A364" s="12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2" t="n"/>
      <c r="L364" s="10" t="n"/>
    </row>
    <row r="365">
      <c r="A365" s="12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2" t="n"/>
      <c r="L365" s="10" t="n"/>
    </row>
    <row r="366">
      <c r="A366" s="12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2" t="n"/>
      <c r="L366" s="10" t="n"/>
    </row>
    <row r="367">
      <c r="A367" s="12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2" t="n"/>
      <c r="L367" s="10" t="n"/>
    </row>
    <row r="368">
      <c r="A368" s="12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2" t="n"/>
      <c r="L368" s="10" t="n"/>
    </row>
    <row r="369">
      <c r="A369" s="12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2" t="n"/>
      <c r="L369" s="10" t="n"/>
    </row>
    <row r="370">
      <c r="A370" s="12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2" t="n"/>
      <c r="L370" s="10" t="n"/>
    </row>
    <row r="371">
      <c r="A371" s="12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2" t="n"/>
      <c r="L371" s="10" t="n"/>
    </row>
    <row r="372">
      <c r="A372" s="12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2" t="n"/>
      <c r="L372" s="10" t="n"/>
    </row>
    <row r="373">
      <c r="A373" s="12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2" t="n"/>
      <c r="L373" s="10" t="n"/>
    </row>
    <row r="374">
      <c r="A374" s="12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2" t="n"/>
      <c r="L374" s="10" t="n"/>
    </row>
    <row r="375">
      <c r="A375" s="12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2" t="n"/>
      <c r="L375" s="10" t="n"/>
    </row>
    <row r="376">
      <c r="A376" s="12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2" t="n"/>
      <c r="L376" s="10" t="n"/>
    </row>
    <row r="377">
      <c r="A377" s="12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2" t="n"/>
      <c r="L377" s="10" t="n"/>
    </row>
    <row r="378">
      <c r="A378" s="12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2" t="n"/>
      <c r="L378" s="10" t="n"/>
    </row>
    <row r="379">
      <c r="A379" s="12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2" t="n"/>
      <c r="L379" s="10" t="n"/>
    </row>
    <row r="380">
      <c r="A380" s="12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2" t="n"/>
      <c r="L380" s="10" t="n"/>
    </row>
    <row r="381">
      <c r="A381" s="12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2" t="n"/>
      <c r="L381" s="10" t="n"/>
    </row>
    <row r="382">
      <c r="A382" s="12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2" t="n"/>
      <c r="L382" s="10" t="n"/>
    </row>
    <row r="383">
      <c r="A383" s="12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2" t="n"/>
      <c r="L383" s="10" t="n"/>
    </row>
    <row r="384">
      <c r="A384" s="12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2" t="n"/>
      <c r="L384" s="10" t="n"/>
    </row>
    <row r="385">
      <c r="A385" s="12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2" t="n"/>
      <c r="L385" s="10" t="n"/>
    </row>
    <row r="386">
      <c r="A386" s="12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2" t="n"/>
      <c r="L386" s="10" t="n"/>
    </row>
    <row r="387">
      <c r="A387" s="12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2" t="n"/>
      <c r="L387" s="10" t="n"/>
    </row>
    <row r="388">
      <c r="A388" s="12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2" t="n"/>
      <c r="L388" s="10" t="n"/>
    </row>
    <row r="389">
      <c r="A389" s="12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2" t="n"/>
      <c r="L389" s="10" t="n"/>
    </row>
    <row r="390">
      <c r="A390" s="12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2" t="n"/>
      <c r="L390" s="10" t="n"/>
    </row>
    <row r="391">
      <c r="A391" s="12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2" t="n"/>
      <c r="L391" s="10" t="n"/>
    </row>
    <row r="392">
      <c r="A392" s="12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2" t="n"/>
      <c r="L392" s="10" t="n"/>
    </row>
    <row r="393">
      <c r="A393" s="12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2" t="n"/>
      <c r="L393" s="10" t="n"/>
    </row>
    <row r="394">
      <c r="A394" s="12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2" t="n"/>
      <c r="L394" s="10" t="n"/>
    </row>
    <row r="395">
      <c r="A395" s="12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2" t="n"/>
      <c r="L395" s="10" t="n"/>
    </row>
    <row r="396">
      <c r="A396" s="12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2" t="n"/>
      <c r="L396" s="10" t="n"/>
    </row>
    <row r="397">
      <c r="A397" s="12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2" t="n"/>
      <c r="L397" s="10" t="n"/>
    </row>
    <row r="398">
      <c r="A398" s="12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2" t="n"/>
      <c r="L398" s="10" t="n"/>
    </row>
    <row r="399">
      <c r="A399" s="12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2" t="n"/>
      <c r="L399" s="10" t="n"/>
    </row>
    <row r="400">
      <c r="A400" s="12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2" t="n"/>
      <c r="L400" s="10" t="n"/>
    </row>
  </sheetData>
  <mergeCells count="1">
    <mergeCell ref="A1:J1"/>
  </mergeCells>
  <dataValidations count="3">
    <dataValidation sqref="B3:B400" showDropDown="0" showInputMessage="0" showErrorMessage="0" allowBlank="1" type="list">
      <formula1>"Warm list,Tier 4 referral,Referral partner,Inbound - page,Inbound - social,Event"</formula1>
    </dataValidation>
    <dataValidation sqref="H3:H400" showDropDown="0" showInputMessage="0" showErrorMessage="0" allowBlank="1" type="list">
      <formula1>"Y,N"</formula1>
    </dataValidation>
    <dataValidation sqref="I3:I400" showDropDown="0" showInputMessage="0" showErrorMessage="0" allowBlank="1" type="list">
      <formula1>"Sent,Jeremy contacted,In progress,Closed won,Closed lost,No response"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44" customWidth="1" min="4" max="4"/>
    <col width="48" customWidth="1" min="5" max="5"/>
    <col width="13" customWidth="1" min="6" max="6"/>
  </cols>
  <sheetData>
    <row r="1">
      <c r="A1" s="5" t="inlineStr">
        <is>
          <t>What you actually hear. Review with Jeremy weekly and find the two you keep hitting. Column F counts how many times the same objection text appears.</t>
        </is>
      </c>
    </row>
    <row r="2" ht="30" customHeight="1">
      <c r="A2" s="6" t="inlineStr">
        <is>
          <t>Date</t>
        </is>
      </c>
      <c r="B2" s="6" t="inlineStr">
        <is>
          <t>Business</t>
        </is>
      </c>
      <c r="C2" s="6" t="inlineStr">
        <is>
          <t>Segment</t>
        </is>
      </c>
      <c r="D2" s="6" t="inlineStr">
        <is>
          <t>Objection heard</t>
        </is>
      </c>
      <c r="E2" s="6" t="inlineStr">
        <is>
          <t>Jeremy's answer</t>
        </is>
      </c>
      <c r="F2" s="6" t="inlineStr">
        <is>
          <t>Times heard</t>
        </is>
      </c>
    </row>
    <row r="3">
      <c r="A3" s="9" t="n">
        <v>46281</v>
      </c>
      <c r="B3" s="7" t="inlineStr">
        <is>
          <t>Ruiz Hospitality Group</t>
        </is>
      </c>
      <c r="C3" s="7" t="inlineStr">
        <is>
          <t>Restaurant/Bar/Lounge</t>
        </is>
      </c>
      <c r="D3" s="7" t="inlineStr">
        <is>
          <t>Locked into Toast, switching is too disruptive</t>
        </is>
      </c>
      <c r="E3" s="7" t="inlineStr">
        <is>
          <t>Ask what the exit clause looks like and revisit 60 days out</t>
        </is>
      </c>
      <c r="F3" s="8">
        <f>IF(D3="","",COUNTIF($D$3:$D$300,D3))</f>
        <v/>
      </c>
    </row>
    <row r="4">
      <c r="A4" s="12" t="n"/>
      <c r="B4" s="10" t="n"/>
      <c r="C4" s="10" t="n"/>
      <c r="D4" s="10" t="n"/>
      <c r="E4" s="10" t="n"/>
      <c r="F4" s="11">
        <f>IF(D4="","",COUNTIF($D$3:$D$300,D4))</f>
        <v/>
      </c>
    </row>
    <row r="5">
      <c r="A5" s="12" t="n"/>
      <c r="B5" s="10" t="n"/>
      <c r="C5" s="10" t="n"/>
      <c r="D5" s="10" t="n"/>
      <c r="E5" s="10" t="n"/>
      <c r="F5" s="11">
        <f>IF(D5="","",COUNTIF($D$3:$D$300,D5))</f>
        <v/>
      </c>
    </row>
    <row r="6">
      <c r="A6" s="12" t="n"/>
      <c r="B6" s="10" t="n"/>
      <c r="C6" s="10" t="n"/>
      <c r="D6" s="10" t="n"/>
      <c r="E6" s="10" t="n"/>
      <c r="F6" s="11">
        <f>IF(D6="","",COUNTIF($D$3:$D$300,D6))</f>
        <v/>
      </c>
    </row>
    <row r="7">
      <c r="A7" s="12" t="n"/>
      <c r="B7" s="10" t="n"/>
      <c r="C7" s="10" t="n"/>
      <c r="D7" s="10" t="n"/>
      <c r="E7" s="10" t="n"/>
      <c r="F7" s="11">
        <f>IF(D7="","",COUNTIF($D$3:$D$300,D7))</f>
        <v/>
      </c>
    </row>
    <row r="8">
      <c r="A8" s="12" t="n"/>
      <c r="B8" s="10" t="n"/>
      <c r="C8" s="10" t="n"/>
      <c r="D8" s="10" t="n"/>
      <c r="E8" s="10" t="n"/>
      <c r="F8" s="11">
        <f>IF(D8="","",COUNTIF($D$3:$D$300,D8))</f>
        <v/>
      </c>
    </row>
    <row r="9">
      <c r="A9" s="12" t="n"/>
      <c r="B9" s="10" t="n"/>
      <c r="C9" s="10" t="n"/>
      <c r="D9" s="10" t="n"/>
      <c r="E9" s="10" t="n"/>
      <c r="F9" s="11">
        <f>IF(D9="","",COUNTIF($D$3:$D$300,D9))</f>
        <v/>
      </c>
    </row>
    <row r="10">
      <c r="A10" s="12" t="n"/>
      <c r="B10" s="10" t="n"/>
      <c r="C10" s="10" t="n"/>
      <c r="D10" s="10" t="n"/>
      <c r="E10" s="10" t="n"/>
      <c r="F10" s="11">
        <f>IF(D10="","",COUNTIF($D$3:$D$300,D10))</f>
        <v/>
      </c>
    </row>
    <row r="11">
      <c r="A11" s="12" t="n"/>
      <c r="B11" s="10" t="n"/>
      <c r="C11" s="10" t="n"/>
      <c r="D11" s="10" t="n"/>
      <c r="E11" s="10" t="n"/>
      <c r="F11" s="11">
        <f>IF(D11="","",COUNTIF($D$3:$D$300,D11))</f>
        <v/>
      </c>
    </row>
    <row r="12">
      <c r="A12" s="12" t="n"/>
      <c r="B12" s="10" t="n"/>
      <c r="C12" s="10" t="n"/>
      <c r="D12" s="10" t="n"/>
      <c r="E12" s="10" t="n"/>
      <c r="F12" s="11">
        <f>IF(D12="","",COUNTIF($D$3:$D$300,D12))</f>
        <v/>
      </c>
    </row>
    <row r="13">
      <c r="A13" s="12" t="n"/>
      <c r="B13" s="10" t="n"/>
      <c r="C13" s="10" t="n"/>
      <c r="D13" s="10" t="n"/>
      <c r="E13" s="10" t="n"/>
      <c r="F13" s="11">
        <f>IF(D13="","",COUNTIF($D$3:$D$300,D13))</f>
        <v/>
      </c>
    </row>
    <row r="14">
      <c r="A14" s="12" t="n"/>
      <c r="B14" s="10" t="n"/>
      <c r="C14" s="10" t="n"/>
      <c r="D14" s="10" t="n"/>
      <c r="E14" s="10" t="n"/>
      <c r="F14" s="11">
        <f>IF(D14="","",COUNTIF($D$3:$D$300,D14))</f>
        <v/>
      </c>
    </row>
    <row r="15">
      <c r="A15" s="12" t="n"/>
      <c r="B15" s="10" t="n"/>
      <c r="C15" s="10" t="n"/>
      <c r="D15" s="10" t="n"/>
      <c r="E15" s="10" t="n"/>
      <c r="F15" s="11">
        <f>IF(D15="","",COUNTIF($D$3:$D$300,D15))</f>
        <v/>
      </c>
    </row>
    <row r="16">
      <c r="A16" s="12" t="n"/>
      <c r="B16" s="10" t="n"/>
      <c r="C16" s="10" t="n"/>
      <c r="D16" s="10" t="n"/>
      <c r="E16" s="10" t="n"/>
      <c r="F16" s="11">
        <f>IF(D16="","",COUNTIF($D$3:$D$300,D16))</f>
        <v/>
      </c>
    </row>
    <row r="17">
      <c r="A17" s="12" t="n"/>
      <c r="B17" s="10" t="n"/>
      <c r="C17" s="10" t="n"/>
      <c r="D17" s="10" t="n"/>
      <c r="E17" s="10" t="n"/>
      <c r="F17" s="11">
        <f>IF(D17="","",COUNTIF($D$3:$D$300,D17))</f>
        <v/>
      </c>
    </row>
    <row r="18">
      <c r="A18" s="12" t="n"/>
      <c r="B18" s="10" t="n"/>
      <c r="C18" s="10" t="n"/>
      <c r="D18" s="10" t="n"/>
      <c r="E18" s="10" t="n"/>
      <c r="F18" s="11">
        <f>IF(D18="","",COUNTIF($D$3:$D$300,D18))</f>
        <v/>
      </c>
    </row>
    <row r="19">
      <c r="A19" s="12" t="n"/>
      <c r="B19" s="10" t="n"/>
      <c r="C19" s="10" t="n"/>
      <c r="D19" s="10" t="n"/>
      <c r="E19" s="10" t="n"/>
      <c r="F19" s="11">
        <f>IF(D19="","",COUNTIF($D$3:$D$300,D19))</f>
        <v/>
      </c>
    </row>
    <row r="20">
      <c r="A20" s="12" t="n"/>
      <c r="B20" s="10" t="n"/>
      <c r="C20" s="10" t="n"/>
      <c r="D20" s="10" t="n"/>
      <c r="E20" s="10" t="n"/>
      <c r="F20" s="11">
        <f>IF(D20="","",COUNTIF($D$3:$D$300,D20))</f>
        <v/>
      </c>
    </row>
    <row r="21">
      <c r="A21" s="12" t="n"/>
      <c r="B21" s="10" t="n"/>
      <c r="C21" s="10" t="n"/>
      <c r="D21" s="10" t="n"/>
      <c r="E21" s="10" t="n"/>
      <c r="F21" s="11">
        <f>IF(D21="","",COUNTIF($D$3:$D$300,D21))</f>
        <v/>
      </c>
    </row>
    <row r="22">
      <c r="A22" s="12" t="n"/>
      <c r="B22" s="10" t="n"/>
      <c r="C22" s="10" t="n"/>
      <c r="D22" s="10" t="n"/>
      <c r="E22" s="10" t="n"/>
      <c r="F22" s="11">
        <f>IF(D22="","",COUNTIF($D$3:$D$300,D22))</f>
        <v/>
      </c>
    </row>
    <row r="23">
      <c r="A23" s="12" t="n"/>
      <c r="B23" s="10" t="n"/>
      <c r="C23" s="10" t="n"/>
      <c r="D23" s="10" t="n"/>
      <c r="E23" s="10" t="n"/>
      <c r="F23" s="11">
        <f>IF(D23="","",COUNTIF($D$3:$D$300,D23))</f>
        <v/>
      </c>
    </row>
    <row r="24">
      <c r="A24" s="12" t="n"/>
      <c r="B24" s="10" t="n"/>
      <c r="C24" s="10" t="n"/>
      <c r="D24" s="10" t="n"/>
      <c r="E24" s="10" t="n"/>
      <c r="F24" s="11">
        <f>IF(D24="","",COUNTIF($D$3:$D$300,D24))</f>
        <v/>
      </c>
    </row>
    <row r="25">
      <c r="A25" s="12" t="n"/>
      <c r="B25" s="10" t="n"/>
      <c r="C25" s="10" t="n"/>
      <c r="D25" s="10" t="n"/>
      <c r="E25" s="10" t="n"/>
      <c r="F25" s="11">
        <f>IF(D25="","",COUNTIF($D$3:$D$300,D25))</f>
        <v/>
      </c>
    </row>
    <row r="26">
      <c r="A26" s="12" t="n"/>
      <c r="B26" s="10" t="n"/>
      <c r="C26" s="10" t="n"/>
      <c r="D26" s="10" t="n"/>
      <c r="E26" s="10" t="n"/>
      <c r="F26" s="11">
        <f>IF(D26="","",COUNTIF($D$3:$D$300,D26))</f>
        <v/>
      </c>
    </row>
    <row r="27">
      <c r="A27" s="12" t="n"/>
      <c r="B27" s="10" t="n"/>
      <c r="C27" s="10" t="n"/>
      <c r="D27" s="10" t="n"/>
      <c r="E27" s="10" t="n"/>
      <c r="F27" s="11">
        <f>IF(D27="","",COUNTIF($D$3:$D$300,D27))</f>
        <v/>
      </c>
    </row>
    <row r="28">
      <c r="A28" s="12" t="n"/>
      <c r="B28" s="10" t="n"/>
      <c r="C28" s="10" t="n"/>
      <c r="D28" s="10" t="n"/>
      <c r="E28" s="10" t="n"/>
      <c r="F28" s="11">
        <f>IF(D28="","",COUNTIF($D$3:$D$300,D28))</f>
        <v/>
      </c>
    </row>
    <row r="29">
      <c r="A29" s="12" t="n"/>
      <c r="B29" s="10" t="n"/>
      <c r="C29" s="10" t="n"/>
      <c r="D29" s="10" t="n"/>
      <c r="E29" s="10" t="n"/>
      <c r="F29" s="11">
        <f>IF(D29="","",COUNTIF($D$3:$D$300,D29))</f>
        <v/>
      </c>
    </row>
    <row r="30">
      <c r="A30" s="12" t="n"/>
      <c r="B30" s="10" t="n"/>
      <c r="C30" s="10" t="n"/>
      <c r="D30" s="10" t="n"/>
      <c r="E30" s="10" t="n"/>
      <c r="F30" s="11">
        <f>IF(D30="","",COUNTIF($D$3:$D$300,D30))</f>
        <v/>
      </c>
    </row>
    <row r="31">
      <c r="A31" s="12" t="n"/>
      <c r="B31" s="10" t="n"/>
      <c r="C31" s="10" t="n"/>
      <c r="D31" s="10" t="n"/>
      <c r="E31" s="10" t="n"/>
      <c r="F31" s="11">
        <f>IF(D31="","",COUNTIF($D$3:$D$300,D31))</f>
        <v/>
      </c>
    </row>
    <row r="32">
      <c r="A32" s="12" t="n"/>
      <c r="B32" s="10" t="n"/>
      <c r="C32" s="10" t="n"/>
      <c r="D32" s="10" t="n"/>
      <c r="E32" s="10" t="n"/>
      <c r="F32" s="11">
        <f>IF(D32="","",COUNTIF($D$3:$D$300,D32))</f>
        <v/>
      </c>
    </row>
    <row r="33">
      <c r="A33" s="12" t="n"/>
      <c r="B33" s="10" t="n"/>
      <c r="C33" s="10" t="n"/>
      <c r="D33" s="10" t="n"/>
      <c r="E33" s="10" t="n"/>
      <c r="F33" s="11">
        <f>IF(D33="","",COUNTIF($D$3:$D$300,D33))</f>
        <v/>
      </c>
    </row>
    <row r="34">
      <c r="A34" s="12" t="n"/>
      <c r="B34" s="10" t="n"/>
      <c r="C34" s="10" t="n"/>
      <c r="D34" s="10" t="n"/>
      <c r="E34" s="10" t="n"/>
      <c r="F34" s="11">
        <f>IF(D34="","",COUNTIF($D$3:$D$300,D34))</f>
        <v/>
      </c>
    </row>
    <row r="35">
      <c r="A35" s="12" t="n"/>
      <c r="B35" s="10" t="n"/>
      <c r="C35" s="10" t="n"/>
      <c r="D35" s="10" t="n"/>
      <c r="E35" s="10" t="n"/>
      <c r="F35" s="11">
        <f>IF(D35="","",COUNTIF($D$3:$D$300,D35))</f>
        <v/>
      </c>
    </row>
    <row r="36">
      <c r="A36" s="12" t="n"/>
      <c r="B36" s="10" t="n"/>
      <c r="C36" s="10" t="n"/>
      <c r="D36" s="10" t="n"/>
      <c r="E36" s="10" t="n"/>
      <c r="F36" s="11">
        <f>IF(D36="","",COUNTIF($D$3:$D$300,D36))</f>
        <v/>
      </c>
    </row>
    <row r="37">
      <c r="A37" s="12" t="n"/>
      <c r="B37" s="10" t="n"/>
      <c r="C37" s="10" t="n"/>
      <c r="D37" s="10" t="n"/>
      <c r="E37" s="10" t="n"/>
      <c r="F37" s="11">
        <f>IF(D37="","",COUNTIF($D$3:$D$300,D37))</f>
        <v/>
      </c>
    </row>
    <row r="38">
      <c r="A38" s="12" t="n"/>
      <c r="B38" s="10" t="n"/>
      <c r="C38" s="10" t="n"/>
      <c r="D38" s="10" t="n"/>
      <c r="E38" s="10" t="n"/>
      <c r="F38" s="11">
        <f>IF(D38="","",COUNTIF($D$3:$D$300,D38))</f>
        <v/>
      </c>
    </row>
    <row r="39">
      <c r="A39" s="12" t="n"/>
      <c r="B39" s="10" t="n"/>
      <c r="C39" s="10" t="n"/>
      <c r="D39" s="10" t="n"/>
      <c r="E39" s="10" t="n"/>
      <c r="F39" s="11">
        <f>IF(D39="","",COUNTIF($D$3:$D$300,D39))</f>
        <v/>
      </c>
    </row>
    <row r="40">
      <c r="A40" s="12" t="n"/>
      <c r="B40" s="10" t="n"/>
      <c r="C40" s="10" t="n"/>
      <c r="D40" s="10" t="n"/>
      <c r="E40" s="10" t="n"/>
      <c r="F40" s="11">
        <f>IF(D40="","",COUNTIF($D$3:$D$300,D40))</f>
        <v/>
      </c>
    </row>
    <row r="41">
      <c r="A41" s="12" t="n"/>
      <c r="B41" s="10" t="n"/>
      <c r="C41" s="10" t="n"/>
      <c r="D41" s="10" t="n"/>
      <c r="E41" s="10" t="n"/>
      <c r="F41" s="11">
        <f>IF(D41="","",COUNTIF($D$3:$D$300,D41))</f>
        <v/>
      </c>
    </row>
    <row r="42">
      <c r="A42" s="12" t="n"/>
      <c r="B42" s="10" t="n"/>
      <c r="C42" s="10" t="n"/>
      <c r="D42" s="10" t="n"/>
      <c r="E42" s="10" t="n"/>
      <c r="F42" s="11">
        <f>IF(D42="","",COUNTIF($D$3:$D$300,D42))</f>
        <v/>
      </c>
    </row>
    <row r="43">
      <c r="A43" s="12" t="n"/>
      <c r="B43" s="10" t="n"/>
      <c r="C43" s="10" t="n"/>
      <c r="D43" s="10" t="n"/>
      <c r="E43" s="10" t="n"/>
      <c r="F43" s="11">
        <f>IF(D43="","",COUNTIF($D$3:$D$300,D43))</f>
        <v/>
      </c>
    </row>
    <row r="44">
      <c r="A44" s="12" t="n"/>
      <c r="B44" s="10" t="n"/>
      <c r="C44" s="10" t="n"/>
      <c r="D44" s="10" t="n"/>
      <c r="E44" s="10" t="n"/>
      <c r="F44" s="11">
        <f>IF(D44="","",COUNTIF($D$3:$D$300,D44))</f>
        <v/>
      </c>
    </row>
    <row r="45">
      <c r="A45" s="12" t="n"/>
      <c r="B45" s="10" t="n"/>
      <c r="C45" s="10" t="n"/>
      <c r="D45" s="10" t="n"/>
      <c r="E45" s="10" t="n"/>
      <c r="F45" s="11">
        <f>IF(D45="","",COUNTIF($D$3:$D$300,D45))</f>
        <v/>
      </c>
    </row>
    <row r="46">
      <c r="A46" s="12" t="n"/>
      <c r="B46" s="10" t="n"/>
      <c r="C46" s="10" t="n"/>
      <c r="D46" s="10" t="n"/>
      <c r="E46" s="10" t="n"/>
      <c r="F46" s="11">
        <f>IF(D46="","",COUNTIF($D$3:$D$300,D46))</f>
        <v/>
      </c>
    </row>
    <row r="47">
      <c r="A47" s="12" t="n"/>
      <c r="B47" s="10" t="n"/>
      <c r="C47" s="10" t="n"/>
      <c r="D47" s="10" t="n"/>
      <c r="E47" s="10" t="n"/>
      <c r="F47" s="11">
        <f>IF(D47="","",COUNTIF($D$3:$D$300,D47))</f>
        <v/>
      </c>
    </row>
    <row r="48">
      <c r="A48" s="12" t="n"/>
      <c r="B48" s="10" t="n"/>
      <c r="C48" s="10" t="n"/>
      <c r="D48" s="10" t="n"/>
      <c r="E48" s="10" t="n"/>
      <c r="F48" s="11">
        <f>IF(D48="","",COUNTIF($D$3:$D$300,D48))</f>
        <v/>
      </c>
    </row>
    <row r="49">
      <c r="A49" s="12" t="n"/>
      <c r="B49" s="10" t="n"/>
      <c r="C49" s="10" t="n"/>
      <c r="D49" s="10" t="n"/>
      <c r="E49" s="10" t="n"/>
      <c r="F49" s="11">
        <f>IF(D49="","",COUNTIF($D$3:$D$300,D49))</f>
        <v/>
      </c>
    </row>
    <row r="50">
      <c r="A50" s="12" t="n"/>
      <c r="B50" s="10" t="n"/>
      <c r="C50" s="10" t="n"/>
      <c r="D50" s="10" t="n"/>
      <c r="E50" s="10" t="n"/>
      <c r="F50" s="11">
        <f>IF(D50="","",COUNTIF($D$3:$D$300,D50))</f>
        <v/>
      </c>
    </row>
    <row r="51">
      <c r="A51" s="12" t="n"/>
      <c r="B51" s="10" t="n"/>
      <c r="C51" s="10" t="n"/>
      <c r="D51" s="10" t="n"/>
      <c r="E51" s="10" t="n"/>
      <c r="F51" s="11">
        <f>IF(D51="","",COUNTIF($D$3:$D$300,D51))</f>
        <v/>
      </c>
    </row>
    <row r="52">
      <c r="A52" s="12" t="n"/>
      <c r="B52" s="10" t="n"/>
      <c r="C52" s="10" t="n"/>
      <c r="D52" s="10" t="n"/>
      <c r="E52" s="10" t="n"/>
      <c r="F52" s="11">
        <f>IF(D52="","",COUNTIF($D$3:$D$300,D52))</f>
        <v/>
      </c>
    </row>
    <row r="53">
      <c r="A53" s="12" t="n"/>
      <c r="B53" s="10" t="n"/>
      <c r="C53" s="10" t="n"/>
      <c r="D53" s="10" t="n"/>
      <c r="E53" s="10" t="n"/>
      <c r="F53" s="11">
        <f>IF(D53="","",COUNTIF($D$3:$D$300,D53))</f>
        <v/>
      </c>
    </row>
    <row r="54">
      <c r="A54" s="12" t="n"/>
      <c r="B54" s="10" t="n"/>
      <c r="C54" s="10" t="n"/>
      <c r="D54" s="10" t="n"/>
      <c r="E54" s="10" t="n"/>
      <c r="F54" s="11">
        <f>IF(D54="","",COUNTIF($D$3:$D$300,D54))</f>
        <v/>
      </c>
    </row>
    <row r="55">
      <c r="A55" s="12" t="n"/>
      <c r="B55" s="10" t="n"/>
      <c r="C55" s="10" t="n"/>
      <c r="D55" s="10" t="n"/>
      <c r="E55" s="10" t="n"/>
      <c r="F55" s="11">
        <f>IF(D55="","",COUNTIF($D$3:$D$300,D55))</f>
        <v/>
      </c>
    </row>
    <row r="56">
      <c r="A56" s="12" t="n"/>
      <c r="B56" s="10" t="n"/>
      <c r="C56" s="10" t="n"/>
      <c r="D56" s="10" t="n"/>
      <c r="E56" s="10" t="n"/>
      <c r="F56" s="11">
        <f>IF(D56="","",COUNTIF($D$3:$D$300,D56))</f>
        <v/>
      </c>
    </row>
    <row r="57">
      <c r="A57" s="12" t="n"/>
      <c r="B57" s="10" t="n"/>
      <c r="C57" s="10" t="n"/>
      <c r="D57" s="10" t="n"/>
      <c r="E57" s="10" t="n"/>
      <c r="F57" s="11">
        <f>IF(D57="","",COUNTIF($D$3:$D$300,D57))</f>
        <v/>
      </c>
    </row>
    <row r="58">
      <c r="A58" s="12" t="n"/>
      <c r="B58" s="10" t="n"/>
      <c r="C58" s="10" t="n"/>
      <c r="D58" s="10" t="n"/>
      <c r="E58" s="10" t="n"/>
      <c r="F58" s="11">
        <f>IF(D58="","",COUNTIF($D$3:$D$300,D58))</f>
        <v/>
      </c>
    </row>
    <row r="59">
      <c r="A59" s="12" t="n"/>
      <c r="B59" s="10" t="n"/>
      <c r="C59" s="10" t="n"/>
      <c r="D59" s="10" t="n"/>
      <c r="E59" s="10" t="n"/>
      <c r="F59" s="11">
        <f>IF(D59="","",COUNTIF($D$3:$D$300,D59))</f>
        <v/>
      </c>
    </row>
    <row r="60">
      <c r="A60" s="12" t="n"/>
      <c r="B60" s="10" t="n"/>
      <c r="C60" s="10" t="n"/>
      <c r="D60" s="10" t="n"/>
      <c r="E60" s="10" t="n"/>
      <c r="F60" s="11">
        <f>IF(D60="","",COUNTIF($D$3:$D$300,D60))</f>
        <v/>
      </c>
    </row>
    <row r="61">
      <c r="A61" s="12" t="n"/>
      <c r="B61" s="10" t="n"/>
      <c r="C61" s="10" t="n"/>
      <c r="D61" s="10" t="n"/>
      <c r="E61" s="10" t="n"/>
      <c r="F61" s="11">
        <f>IF(D61="","",COUNTIF($D$3:$D$300,D61))</f>
        <v/>
      </c>
    </row>
    <row r="62">
      <c r="A62" s="12" t="n"/>
      <c r="B62" s="10" t="n"/>
      <c r="C62" s="10" t="n"/>
      <c r="D62" s="10" t="n"/>
      <c r="E62" s="10" t="n"/>
      <c r="F62" s="11">
        <f>IF(D62="","",COUNTIF($D$3:$D$300,D62))</f>
        <v/>
      </c>
    </row>
    <row r="63">
      <c r="A63" s="12" t="n"/>
      <c r="B63" s="10" t="n"/>
      <c r="C63" s="10" t="n"/>
      <c r="D63" s="10" t="n"/>
      <c r="E63" s="10" t="n"/>
      <c r="F63" s="11">
        <f>IF(D63="","",COUNTIF($D$3:$D$300,D63))</f>
        <v/>
      </c>
    </row>
    <row r="64">
      <c r="A64" s="12" t="n"/>
      <c r="B64" s="10" t="n"/>
      <c r="C64" s="10" t="n"/>
      <c r="D64" s="10" t="n"/>
      <c r="E64" s="10" t="n"/>
      <c r="F64" s="11">
        <f>IF(D64="","",COUNTIF($D$3:$D$300,D64))</f>
        <v/>
      </c>
    </row>
    <row r="65">
      <c r="A65" s="12" t="n"/>
      <c r="B65" s="10" t="n"/>
      <c r="C65" s="10" t="n"/>
      <c r="D65" s="10" t="n"/>
      <c r="E65" s="10" t="n"/>
      <c r="F65" s="11">
        <f>IF(D65="","",COUNTIF($D$3:$D$300,D65))</f>
        <v/>
      </c>
    </row>
    <row r="66">
      <c r="A66" s="12" t="n"/>
      <c r="B66" s="10" t="n"/>
      <c r="C66" s="10" t="n"/>
      <c r="D66" s="10" t="n"/>
      <c r="E66" s="10" t="n"/>
      <c r="F66" s="11">
        <f>IF(D66="","",COUNTIF($D$3:$D$300,D66))</f>
        <v/>
      </c>
    </row>
    <row r="67">
      <c r="A67" s="12" t="n"/>
      <c r="B67" s="10" t="n"/>
      <c r="C67" s="10" t="n"/>
      <c r="D67" s="10" t="n"/>
      <c r="E67" s="10" t="n"/>
      <c r="F67" s="11">
        <f>IF(D67="","",COUNTIF($D$3:$D$300,D67))</f>
        <v/>
      </c>
    </row>
    <row r="68">
      <c r="A68" s="12" t="n"/>
      <c r="B68" s="10" t="n"/>
      <c r="C68" s="10" t="n"/>
      <c r="D68" s="10" t="n"/>
      <c r="E68" s="10" t="n"/>
      <c r="F68" s="11">
        <f>IF(D68="","",COUNTIF($D$3:$D$300,D68))</f>
        <v/>
      </c>
    </row>
    <row r="69">
      <c r="A69" s="12" t="n"/>
      <c r="B69" s="10" t="n"/>
      <c r="C69" s="10" t="n"/>
      <c r="D69" s="10" t="n"/>
      <c r="E69" s="10" t="n"/>
      <c r="F69" s="11">
        <f>IF(D69="","",COUNTIF($D$3:$D$300,D69))</f>
        <v/>
      </c>
    </row>
    <row r="70">
      <c r="A70" s="12" t="n"/>
      <c r="B70" s="10" t="n"/>
      <c r="C70" s="10" t="n"/>
      <c r="D70" s="10" t="n"/>
      <c r="E70" s="10" t="n"/>
      <c r="F70" s="11">
        <f>IF(D70="","",COUNTIF($D$3:$D$300,D70))</f>
        <v/>
      </c>
    </row>
    <row r="71">
      <c r="A71" s="12" t="n"/>
      <c r="B71" s="10" t="n"/>
      <c r="C71" s="10" t="n"/>
      <c r="D71" s="10" t="n"/>
      <c r="E71" s="10" t="n"/>
      <c r="F71" s="11">
        <f>IF(D71="","",COUNTIF($D$3:$D$300,D71))</f>
        <v/>
      </c>
    </row>
    <row r="72">
      <c r="A72" s="12" t="n"/>
      <c r="B72" s="10" t="n"/>
      <c r="C72" s="10" t="n"/>
      <c r="D72" s="10" t="n"/>
      <c r="E72" s="10" t="n"/>
      <c r="F72" s="11">
        <f>IF(D72="","",COUNTIF($D$3:$D$300,D72))</f>
        <v/>
      </c>
    </row>
    <row r="73">
      <c r="A73" s="12" t="n"/>
      <c r="B73" s="10" t="n"/>
      <c r="C73" s="10" t="n"/>
      <c r="D73" s="10" t="n"/>
      <c r="E73" s="10" t="n"/>
      <c r="F73" s="11">
        <f>IF(D73="","",COUNTIF($D$3:$D$300,D73))</f>
        <v/>
      </c>
    </row>
    <row r="74">
      <c r="A74" s="12" t="n"/>
      <c r="B74" s="10" t="n"/>
      <c r="C74" s="10" t="n"/>
      <c r="D74" s="10" t="n"/>
      <c r="E74" s="10" t="n"/>
      <c r="F74" s="11">
        <f>IF(D74="","",COUNTIF($D$3:$D$300,D74))</f>
        <v/>
      </c>
    </row>
    <row r="75">
      <c r="A75" s="12" t="n"/>
      <c r="B75" s="10" t="n"/>
      <c r="C75" s="10" t="n"/>
      <c r="D75" s="10" t="n"/>
      <c r="E75" s="10" t="n"/>
      <c r="F75" s="11">
        <f>IF(D75="","",COUNTIF($D$3:$D$300,D75))</f>
        <v/>
      </c>
    </row>
    <row r="76">
      <c r="A76" s="12" t="n"/>
      <c r="B76" s="10" t="n"/>
      <c r="C76" s="10" t="n"/>
      <c r="D76" s="10" t="n"/>
      <c r="E76" s="10" t="n"/>
      <c r="F76" s="11">
        <f>IF(D76="","",COUNTIF($D$3:$D$300,D76))</f>
        <v/>
      </c>
    </row>
    <row r="77">
      <c r="A77" s="12" t="n"/>
      <c r="B77" s="10" t="n"/>
      <c r="C77" s="10" t="n"/>
      <c r="D77" s="10" t="n"/>
      <c r="E77" s="10" t="n"/>
      <c r="F77" s="11">
        <f>IF(D77="","",COUNTIF($D$3:$D$300,D77))</f>
        <v/>
      </c>
    </row>
    <row r="78">
      <c r="A78" s="12" t="n"/>
      <c r="B78" s="10" t="n"/>
      <c r="C78" s="10" t="n"/>
      <c r="D78" s="10" t="n"/>
      <c r="E78" s="10" t="n"/>
      <c r="F78" s="11">
        <f>IF(D78="","",COUNTIF($D$3:$D$300,D78))</f>
        <v/>
      </c>
    </row>
    <row r="79">
      <c r="A79" s="12" t="n"/>
      <c r="B79" s="10" t="n"/>
      <c r="C79" s="10" t="n"/>
      <c r="D79" s="10" t="n"/>
      <c r="E79" s="10" t="n"/>
      <c r="F79" s="11">
        <f>IF(D79="","",COUNTIF($D$3:$D$300,D79))</f>
        <v/>
      </c>
    </row>
    <row r="80">
      <c r="A80" s="12" t="n"/>
      <c r="B80" s="10" t="n"/>
      <c r="C80" s="10" t="n"/>
      <c r="D80" s="10" t="n"/>
      <c r="E80" s="10" t="n"/>
      <c r="F80" s="11">
        <f>IF(D80="","",COUNTIF($D$3:$D$300,D80))</f>
        <v/>
      </c>
    </row>
    <row r="81">
      <c r="A81" s="12" t="n"/>
      <c r="B81" s="10" t="n"/>
      <c r="C81" s="10" t="n"/>
      <c r="D81" s="10" t="n"/>
      <c r="E81" s="10" t="n"/>
      <c r="F81" s="11">
        <f>IF(D81="","",COUNTIF($D$3:$D$300,D81))</f>
        <v/>
      </c>
    </row>
    <row r="82">
      <c r="A82" s="12" t="n"/>
      <c r="B82" s="10" t="n"/>
      <c r="C82" s="10" t="n"/>
      <c r="D82" s="10" t="n"/>
      <c r="E82" s="10" t="n"/>
      <c r="F82" s="11">
        <f>IF(D82="","",COUNTIF($D$3:$D$300,D82))</f>
        <v/>
      </c>
    </row>
    <row r="83">
      <c r="A83" s="12" t="n"/>
      <c r="B83" s="10" t="n"/>
      <c r="C83" s="10" t="n"/>
      <c r="D83" s="10" t="n"/>
      <c r="E83" s="10" t="n"/>
      <c r="F83" s="11">
        <f>IF(D83="","",COUNTIF($D$3:$D$300,D83))</f>
        <v/>
      </c>
    </row>
    <row r="84">
      <c r="A84" s="12" t="n"/>
      <c r="B84" s="10" t="n"/>
      <c r="C84" s="10" t="n"/>
      <c r="D84" s="10" t="n"/>
      <c r="E84" s="10" t="n"/>
      <c r="F84" s="11">
        <f>IF(D84="","",COUNTIF($D$3:$D$300,D84))</f>
        <v/>
      </c>
    </row>
    <row r="85">
      <c r="A85" s="12" t="n"/>
      <c r="B85" s="10" t="n"/>
      <c r="C85" s="10" t="n"/>
      <c r="D85" s="10" t="n"/>
      <c r="E85" s="10" t="n"/>
      <c r="F85" s="11">
        <f>IF(D85="","",COUNTIF($D$3:$D$300,D85))</f>
        <v/>
      </c>
    </row>
    <row r="86">
      <c r="A86" s="12" t="n"/>
      <c r="B86" s="10" t="n"/>
      <c r="C86" s="10" t="n"/>
      <c r="D86" s="10" t="n"/>
      <c r="E86" s="10" t="n"/>
      <c r="F86" s="11">
        <f>IF(D86="","",COUNTIF($D$3:$D$300,D86))</f>
        <v/>
      </c>
    </row>
    <row r="87">
      <c r="A87" s="12" t="n"/>
      <c r="B87" s="10" t="n"/>
      <c r="C87" s="10" t="n"/>
      <c r="D87" s="10" t="n"/>
      <c r="E87" s="10" t="n"/>
      <c r="F87" s="11">
        <f>IF(D87="","",COUNTIF($D$3:$D$300,D87))</f>
        <v/>
      </c>
    </row>
    <row r="88">
      <c r="A88" s="12" t="n"/>
      <c r="B88" s="10" t="n"/>
      <c r="C88" s="10" t="n"/>
      <c r="D88" s="10" t="n"/>
      <c r="E88" s="10" t="n"/>
      <c r="F88" s="11">
        <f>IF(D88="","",COUNTIF($D$3:$D$300,D88))</f>
        <v/>
      </c>
    </row>
    <row r="89">
      <c r="A89" s="12" t="n"/>
      <c r="B89" s="10" t="n"/>
      <c r="C89" s="10" t="n"/>
      <c r="D89" s="10" t="n"/>
      <c r="E89" s="10" t="n"/>
      <c r="F89" s="11">
        <f>IF(D89="","",COUNTIF($D$3:$D$300,D89))</f>
        <v/>
      </c>
    </row>
    <row r="90">
      <c r="A90" s="12" t="n"/>
      <c r="B90" s="10" t="n"/>
      <c r="C90" s="10" t="n"/>
      <c r="D90" s="10" t="n"/>
      <c r="E90" s="10" t="n"/>
      <c r="F90" s="11">
        <f>IF(D90="","",COUNTIF($D$3:$D$300,D90))</f>
        <v/>
      </c>
    </row>
    <row r="91">
      <c r="A91" s="12" t="n"/>
      <c r="B91" s="10" t="n"/>
      <c r="C91" s="10" t="n"/>
      <c r="D91" s="10" t="n"/>
      <c r="E91" s="10" t="n"/>
      <c r="F91" s="11">
        <f>IF(D91="","",COUNTIF($D$3:$D$300,D91))</f>
        <v/>
      </c>
    </row>
    <row r="92">
      <c r="A92" s="12" t="n"/>
      <c r="B92" s="10" t="n"/>
      <c r="C92" s="10" t="n"/>
      <c r="D92" s="10" t="n"/>
      <c r="E92" s="10" t="n"/>
      <c r="F92" s="11">
        <f>IF(D92="","",COUNTIF($D$3:$D$300,D92))</f>
        <v/>
      </c>
    </row>
    <row r="93">
      <c r="A93" s="12" t="n"/>
      <c r="B93" s="10" t="n"/>
      <c r="C93" s="10" t="n"/>
      <c r="D93" s="10" t="n"/>
      <c r="E93" s="10" t="n"/>
      <c r="F93" s="11">
        <f>IF(D93="","",COUNTIF($D$3:$D$300,D93))</f>
        <v/>
      </c>
    </row>
    <row r="94">
      <c r="A94" s="12" t="n"/>
      <c r="B94" s="10" t="n"/>
      <c r="C94" s="10" t="n"/>
      <c r="D94" s="10" t="n"/>
      <c r="E94" s="10" t="n"/>
      <c r="F94" s="11">
        <f>IF(D94="","",COUNTIF($D$3:$D$300,D94))</f>
        <v/>
      </c>
    </row>
    <row r="95">
      <c r="A95" s="12" t="n"/>
      <c r="B95" s="10" t="n"/>
      <c r="C95" s="10" t="n"/>
      <c r="D95" s="10" t="n"/>
      <c r="E95" s="10" t="n"/>
      <c r="F95" s="11">
        <f>IF(D95="","",COUNTIF($D$3:$D$300,D95))</f>
        <v/>
      </c>
    </row>
    <row r="96">
      <c r="A96" s="12" t="n"/>
      <c r="B96" s="10" t="n"/>
      <c r="C96" s="10" t="n"/>
      <c r="D96" s="10" t="n"/>
      <c r="E96" s="10" t="n"/>
      <c r="F96" s="11">
        <f>IF(D96="","",COUNTIF($D$3:$D$300,D96))</f>
        <v/>
      </c>
    </row>
    <row r="97">
      <c r="A97" s="12" t="n"/>
      <c r="B97" s="10" t="n"/>
      <c r="C97" s="10" t="n"/>
      <c r="D97" s="10" t="n"/>
      <c r="E97" s="10" t="n"/>
      <c r="F97" s="11">
        <f>IF(D97="","",COUNTIF($D$3:$D$300,D97))</f>
        <v/>
      </c>
    </row>
    <row r="98">
      <c r="A98" s="12" t="n"/>
      <c r="B98" s="10" t="n"/>
      <c r="C98" s="10" t="n"/>
      <c r="D98" s="10" t="n"/>
      <c r="E98" s="10" t="n"/>
      <c r="F98" s="11">
        <f>IF(D98="","",COUNTIF($D$3:$D$300,D98))</f>
        <v/>
      </c>
    </row>
    <row r="99">
      <c r="A99" s="12" t="n"/>
      <c r="B99" s="10" t="n"/>
      <c r="C99" s="10" t="n"/>
      <c r="D99" s="10" t="n"/>
      <c r="E99" s="10" t="n"/>
      <c r="F99" s="11">
        <f>IF(D99="","",COUNTIF($D$3:$D$300,D99))</f>
        <v/>
      </c>
    </row>
    <row r="100">
      <c r="A100" s="12" t="n"/>
      <c r="B100" s="10" t="n"/>
      <c r="C100" s="10" t="n"/>
      <c r="D100" s="10" t="n"/>
      <c r="E100" s="10" t="n"/>
      <c r="F100" s="11">
        <f>IF(D100="","",COUNTIF($D$3:$D$300,D100))</f>
        <v/>
      </c>
    </row>
    <row r="101">
      <c r="A101" s="12" t="n"/>
      <c r="B101" s="10" t="n"/>
      <c r="C101" s="10" t="n"/>
      <c r="D101" s="10" t="n"/>
      <c r="E101" s="10" t="n"/>
      <c r="F101" s="11">
        <f>IF(D101="","",COUNTIF($D$3:$D$300,D101))</f>
        <v/>
      </c>
    </row>
    <row r="102">
      <c r="A102" s="12" t="n"/>
      <c r="B102" s="10" t="n"/>
      <c r="C102" s="10" t="n"/>
      <c r="D102" s="10" t="n"/>
      <c r="E102" s="10" t="n"/>
      <c r="F102" s="11">
        <f>IF(D102="","",COUNTIF($D$3:$D$300,D102))</f>
        <v/>
      </c>
    </row>
    <row r="103">
      <c r="A103" s="12" t="n"/>
      <c r="B103" s="10" t="n"/>
      <c r="C103" s="10" t="n"/>
      <c r="D103" s="10" t="n"/>
      <c r="E103" s="10" t="n"/>
      <c r="F103" s="11">
        <f>IF(D103="","",COUNTIF($D$3:$D$300,D103))</f>
        <v/>
      </c>
    </row>
    <row r="104">
      <c r="A104" s="12" t="n"/>
      <c r="B104" s="10" t="n"/>
      <c r="C104" s="10" t="n"/>
      <c r="D104" s="10" t="n"/>
      <c r="E104" s="10" t="n"/>
      <c r="F104" s="11">
        <f>IF(D104="","",COUNTIF($D$3:$D$300,D104))</f>
        <v/>
      </c>
    </row>
    <row r="105">
      <c r="A105" s="12" t="n"/>
      <c r="B105" s="10" t="n"/>
      <c r="C105" s="10" t="n"/>
      <c r="D105" s="10" t="n"/>
      <c r="E105" s="10" t="n"/>
      <c r="F105" s="11">
        <f>IF(D105="","",COUNTIF($D$3:$D$300,D105))</f>
        <v/>
      </c>
    </row>
    <row r="106">
      <c r="A106" s="12" t="n"/>
      <c r="B106" s="10" t="n"/>
      <c r="C106" s="10" t="n"/>
      <c r="D106" s="10" t="n"/>
      <c r="E106" s="10" t="n"/>
      <c r="F106" s="11">
        <f>IF(D106="","",COUNTIF($D$3:$D$300,D106))</f>
        <v/>
      </c>
    </row>
    <row r="107">
      <c r="A107" s="12" t="n"/>
      <c r="B107" s="10" t="n"/>
      <c r="C107" s="10" t="n"/>
      <c r="D107" s="10" t="n"/>
      <c r="E107" s="10" t="n"/>
      <c r="F107" s="11">
        <f>IF(D107="","",COUNTIF($D$3:$D$300,D107))</f>
        <v/>
      </c>
    </row>
    <row r="108">
      <c r="A108" s="12" t="n"/>
      <c r="B108" s="10" t="n"/>
      <c r="C108" s="10" t="n"/>
      <c r="D108" s="10" t="n"/>
      <c r="E108" s="10" t="n"/>
      <c r="F108" s="11">
        <f>IF(D108="","",COUNTIF($D$3:$D$300,D108))</f>
        <v/>
      </c>
    </row>
    <row r="109">
      <c r="A109" s="12" t="n"/>
      <c r="B109" s="10" t="n"/>
      <c r="C109" s="10" t="n"/>
      <c r="D109" s="10" t="n"/>
      <c r="E109" s="10" t="n"/>
      <c r="F109" s="11">
        <f>IF(D109="","",COUNTIF($D$3:$D$300,D109))</f>
        <v/>
      </c>
    </row>
    <row r="110">
      <c r="A110" s="12" t="n"/>
      <c r="B110" s="10" t="n"/>
      <c r="C110" s="10" t="n"/>
      <c r="D110" s="10" t="n"/>
      <c r="E110" s="10" t="n"/>
      <c r="F110" s="11">
        <f>IF(D110="","",COUNTIF($D$3:$D$300,D110))</f>
        <v/>
      </c>
    </row>
    <row r="111">
      <c r="A111" s="12" t="n"/>
      <c r="B111" s="10" t="n"/>
      <c r="C111" s="10" t="n"/>
      <c r="D111" s="10" t="n"/>
      <c r="E111" s="10" t="n"/>
      <c r="F111" s="11">
        <f>IF(D111="","",COUNTIF($D$3:$D$300,D111))</f>
        <v/>
      </c>
    </row>
    <row r="112">
      <c r="A112" s="12" t="n"/>
      <c r="B112" s="10" t="n"/>
      <c r="C112" s="10" t="n"/>
      <c r="D112" s="10" t="n"/>
      <c r="E112" s="10" t="n"/>
      <c r="F112" s="11">
        <f>IF(D112="","",COUNTIF($D$3:$D$300,D112))</f>
        <v/>
      </c>
    </row>
    <row r="113">
      <c r="A113" s="12" t="n"/>
      <c r="B113" s="10" t="n"/>
      <c r="C113" s="10" t="n"/>
      <c r="D113" s="10" t="n"/>
      <c r="E113" s="10" t="n"/>
      <c r="F113" s="11">
        <f>IF(D113="","",COUNTIF($D$3:$D$300,D113))</f>
        <v/>
      </c>
    </row>
    <row r="114">
      <c r="A114" s="12" t="n"/>
      <c r="B114" s="10" t="n"/>
      <c r="C114" s="10" t="n"/>
      <c r="D114" s="10" t="n"/>
      <c r="E114" s="10" t="n"/>
      <c r="F114" s="11">
        <f>IF(D114="","",COUNTIF($D$3:$D$300,D114))</f>
        <v/>
      </c>
    </row>
    <row r="115">
      <c r="A115" s="12" t="n"/>
      <c r="B115" s="10" t="n"/>
      <c r="C115" s="10" t="n"/>
      <c r="D115" s="10" t="n"/>
      <c r="E115" s="10" t="n"/>
      <c r="F115" s="11">
        <f>IF(D115="","",COUNTIF($D$3:$D$300,D115))</f>
        <v/>
      </c>
    </row>
    <row r="116">
      <c r="A116" s="12" t="n"/>
      <c r="B116" s="10" t="n"/>
      <c r="C116" s="10" t="n"/>
      <c r="D116" s="10" t="n"/>
      <c r="E116" s="10" t="n"/>
      <c r="F116" s="11">
        <f>IF(D116="","",COUNTIF($D$3:$D$300,D116))</f>
        <v/>
      </c>
    </row>
    <row r="117">
      <c r="A117" s="12" t="n"/>
      <c r="B117" s="10" t="n"/>
      <c r="C117" s="10" t="n"/>
      <c r="D117" s="10" t="n"/>
      <c r="E117" s="10" t="n"/>
      <c r="F117" s="11">
        <f>IF(D117="","",COUNTIF($D$3:$D$300,D117))</f>
        <v/>
      </c>
    </row>
    <row r="118">
      <c r="A118" s="12" t="n"/>
      <c r="B118" s="10" t="n"/>
      <c r="C118" s="10" t="n"/>
      <c r="D118" s="10" t="n"/>
      <c r="E118" s="10" t="n"/>
      <c r="F118" s="11">
        <f>IF(D118="","",COUNTIF($D$3:$D$300,D118))</f>
        <v/>
      </c>
    </row>
    <row r="119">
      <c r="A119" s="12" t="n"/>
      <c r="B119" s="10" t="n"/>
      <c r="C119" s="10" t="n"/>
      <c r="D119" s="10" t="n"/>
      <c r="E119" s="10" t="n"/>
      <c r="F119" s="11">
        <f>IF(D119="","",COUNTIF($D$3:$D$300,D119))</f>
        <v/>
      </c>
    </row>
    <row r="120">
      <c r="A120" s="12" t="n"/>
      <c r="B120" s="10" t="n"/>
      <c r="C120" s="10" t="n"/>
      <c r="D120" s="10" t="n"/>
      <c r="E120" s="10" t="n"/>
      <c r="F120" s="11">
        <f>IF(D120="","",COUNTIF($D$3:$D$300,D120))</f>
        <v/>
      </c>
    </row>
    <row r="121">
      <c r="A121" s="12" t="n"/>
      <c r="B121" s="10" t="n"/>
      <c r="C121" s="10" t="n"/>
      <c r="D121" s="10" t="n"/>
      <c r="E121" s="10" t="n"/>
      <c r="F121" s="11">
        <f>IF(D121="","",COUNTIF($D$3:$D$300,D121))</f>
        <v/>
      </c>
    </row>
    <row r="122">
      <c r="A122" s="12" t="n"/>
      <c r="B122" s="10" t="n"/>
      <c r="C122" s="10" t="n"/>
      <c r="D122" s="10" t="n"/>
      <c r="E122" s="10" t="n"/>
      <c r="F122" s="11">
        <f>IF(D122="","",COUNTIF($D$3:$D$300,D122))</f>
        <v/>
      </c>
    </row>
    <row r="123">
      <c r="A123" s="12" t="n"/>
      <c r="B123" s="10" t="n"/>
      <c r="C123" s="10" t="n"/>
      <c r="D123" s="10" t="n"/>
      <c r="E123" s="10" t="n"/>
      <c r="F123" s="11">
        <f>IF(D123="","",COUNTIF($D$3:$D$300,D123))</f>
        <v/>
      </c>
    </row>
    <row r="124">
      <c r="A124" s="12" t="n"/>
      <c r="B124" s="10" t="n"/>
      <c r="C124" s="10" t="n"/>
      <c r="D124" s="10" t="n"/>
      <c r="E124" s="10" t="n"/>
      <c r="F124" s="11">
        <f>IF(D124="","",COUNTIF($D$3:$D$300,D124))</f>
        <v/>
      </c>
    </row>
    <row r="125">
      <c r="A125" s="12" t="n"/>
      <c r="B125" s="10" t="n"/>
      <c r="C125" s="10" t="n"/>
      <c r="D125" s="10" t="n"/>
      <c r="E125" s="10" t="n"/>
      <c r="F125" s="11">
        <f>IF(D125="","",COUNTIF($D$3:$D$300,D125))</f>
        <v/>
      </c>
    </row>
    <row r="126">
      <c r="A126" s="12" t="n"/>
      <c r="B126" s="10" t="n"/>
      <c r="C126" s="10" t="n"/>
      <c r="D126" s="10" t="n"/>
      <c r="E126" s="10" t="n"/>
      <c r="F126" s="11">
        <f>IF(D126="","",COUNTIF($D$3:$D$300,D126))</f>
        <v/>
      </c>
    </row>
    <row r="127">
      <c r="A127" s="12" t="n"/>
      <c r="B127" s="10" t="n"/>
      <c r="C127" s="10" t="n"/>
      <c r="D127" s="10" t="n"/>
      <c r="E127" s="10" t="n"/>
      <c r="F127" s="11">
        <f>IF(D127="","",COUNTIF($D$3:$D$300,D127))</f>
        <v/>
      </c>
    </row>
    <row r="128">
      <c r="A128" s="12" t="n"/>
      <c r="B128" s="10" t="n"/>
      <c r="C128" s="10" t="n"/>
      <c r="D128" s="10" t="n"/>
      <c r="E128" s="10" t="n"/>
      <c r="F128" s="11">
        <f>IF(D128="","",COUNTIF($D$3:$D$300,D128))</f>
        <v/>
      </c>
    </row>
    <row r="129">
      <c r="A129" s="12" t="n"/>
      <c r="B129" s="10" t="n"/>
      <c r="C129" s="10" t="n"/>
      <c r="D129" s="10" t="n"/>
      <c r="E129" s="10" t="n"/>
      <c r="F129" s="11">
        <f>IF(D129="","",COUNTIF($D$3:$D$300,D129))</f>
        <v/>
      </c>
    </row>
    <row r="130">
      <c r="A130" s="12" t="n"/>
      <c r="B130" s="10" t="n"/>
      <c r="C130" s="10" t="n"/>
      <c r="D130" s="10" t="n"/>
      <c r="E130" s="10" t="n"/>
      <c r="F130" s="11">
        <f>IF(D130="","",COUNTIF($D$3:$D$300,D130))</f>
        <v/>
      </c>
    </row>
    <row r="131">
      <c r="A131" s="12" t="n"/>
      <c r="B131" s="10" t="n"/>
      <c r="C131" s="10" t="n"/>
      <c r="D131" s="10" t="n"/>
      <c r="E131" s="10" t="n"/>
      <c r="F131" s="11">
        <f>IF(D131="","",COUNTIF($D$3:$D$300,D131))</f>
        <v/>
      </c>
    </row>
    <row r="132">
      <c r="A132" s="12" t="n"/>
      <c r="B132" s="10" t="n"/>
      <c r="C132" s="10" t="n"/>
      <c r="D132" s="10" t="n"/>
      <c r="E132" s="10" t="n"/>
      <c r="F132" s="11">
        <f>IF(D132="","",COUNTIF($D$3:$D$300,D132))</f>
        <v/>
      </c>
    </row>
    <row r="133">
      <c r="A133" s="12" t="n"/>
      <c r="B133" s="10" t="n"/>
      <c r="C133" s="10" t="n"/>
      <c r="D133" s="10" t="n"/>
      <c r="E133" s="10" t="n"/>
      <c r="F133" s="11">
        <f>IF(D133="","",COUNTIF($D$3:$D$300,D133))</f>
        <v/>
      </c>
    </row>
    <row r="134">
      <c r="A134" s="12" t="n"/>
      <c r="B134" s="10" t="n"/>
      <c r="C134" s="10" t="n"/>
      <c r="D134" s="10" t="n"/>
      <c r="E134" s="10" t="n"/>
      <c r="F134" s="11">
        <f>IF(D134="","",COUNTIF($D$3:$D$300,D134))</f>
        <v/>
      </c>
    </row>
    <row r="135">
      <c r="A135" s="12" t="n"/>
      <c r="B135" s="10" t="n"/>
      <c r="C135" s="10" t="n"/>
      <c r="D135" s="10" t="n"/>
      <c r="E135" s="10" t="n"/>
      <c r="F135" s="11">
        <f>IF(D135="","",COUNTIF($D$3:$D$300,D135))</f>
        <v/>
      </c>
    </row>
    <row r="136">
      <c r="A136" s="12" t="n"/>
      <c r="B136" s="10" t="n"/>
      <c r="C136" s="10" t="n"/>
      <c r="D136" s="10" t="n"/>
      <c r="E136" s="10" t="n"/>
      <c r="F136" s="11">
        <f>IF(D136="","",COUNTIF($D$3:$D$300,D136))</f>
        <v/>
      </c>
    </row>
    <row r="137">
      <c r="A137" s="12" t="n"/>
      <c r="B137" s="10" t="n"/>
      <c r="C137" s="10" t="n"/>
      <c r="D137" s="10" t="n"/>
      <c r="E137" s="10" t="n"/>
      <c r="F137" s="11">
        <f>IF(D137="","",COUNTIF($D$3:$D$300,D137))</f>
        <v/>
      </c>
    </row>
    <row r="138">
      <c r="A138" s="12" t="n"/>
      <c r="B138" s="10" t="n"/>
      <c r="C138" s="10" t="n"/>
      <c r="D138" s="10" t="n"/>
      <c r="E138" s="10" t="n"/>
      <c r="F138" s="11">
        <f>IF(D138="","",COUNTIF($D$3:$D$300,D138))</f>
        <v/>
      </c>
    </row>
    <row r="139">
      <c r="A139" s="12" t="n"/>
      <c r="B139" s="10" t="n"/>
      <c r="C139" s="10" t="n"/>
      <c r="D139" s="10" t="n"/>
      <c r="E139" s="10" t="n"/>
      <c r="F139" s="11">
        <f>IF(D139="","",COUNTIF($D$3:$D$300,D139))</f>
        <v/>
      </c>
    </row>
    <row r="140">
      <c r="A140" s="12" t="n"/>
      <c r="B140" s="10" t="n"/>
      <c r="C140" s="10" t="n"/>
      <c r="D140" s="10" t="n"/>
      <c r="E140" s="10" t="n"/>
      <c r="F140" s="11">
        <f>IF(D140="","",COUNTIF($D$3:$D$300,D140))</f>
        <v/>
      </c>
    </row>
    <row r="141">
      <c r="A141" s="12" t="n"/>
      <c r="B141" s="10" t="n"/>
      <c r="C141" s="10" t="n"/>
      <c r="D141" s="10" t="n"/>
      <c r="E141" s="10" t="n"/>
      <c r="F141" s="11">
        <f>IF(D141="","",COUNTIF($D$3:$D$300,D141))</f>
        <v/>
      </c>
    </row>
    <row r="142">
      <c r="A142" s="12" t="n"/>
      <c r="B142" s="10" t="n"/>
      <c r="C142" s="10" t="n"/>
      <c r="D142" s="10" t="n"/>
      <c r="E142" s="10" t="n"/>
      <c r="F142" s="11">
        <f>IF(D142="","",COUNTIF($D$3:$D$300,D142))</f>
        <v/>
      </c>
    </row>
    <row r="143">
      <c r="A143" s="12" t="n"/>
      <c r="B143" s="10" t="n"/>
      <c r="C143" s="10" t="n"/>
      <c r="D143" s="10" t="n"/>
      <c r="E143" s="10" t="n"/>
      <c r="F143" s="11">
        <f>IF(D143="","",COUNTIF($D$3:$D$300,D143))</f>
        <v/>
      </c>
    </row>
    <row r="144">
      <c r="A144" s="12" t="n"/>
      <c r="B144" s="10" t="n"/>
      <c r="C144" s="10" t="n"/>
      <c r="D144" s="10" t="n"/>
      <c r="E144" s="10" t="n"/>
      <c r="F144" s="11">
        <f>IF(D144="","",COUNTIF($D$3:$D$300,D144))</f>
        <v/>
      </c>
    </row>
    <row r="145">
      <c r="A145" s="12" t="n"/>
      <c r="B145" s="10" t="n"/>
      <c r="C145" s="10" t="n"/>
      <c r="D145" s="10" t="n"/>
      <c r="E145" s="10" t="n"/>
      <c r="F145" s="11">
        <f>IF(D145="","",COUNTIF($D$3:$D$300,D145))</f>
        <v/>
      </c>
    </row>
    <row r="146">
      <c r="A146" s="12" t="n"/>
      <c r="B146" s="10" t="n"/>
      <c r="C146" s="10" t="n"/>
      <c r="D146" s="10" t="n"/>
      <c r="E146" s="10" t="n"/>
      <c r="F146" s="11">
        <f>IF(D146="","",COUNTIF($D$3:$D$300,D146))</f>
        <v/>
      </c>
    </row>
    <row r="147">
      <c r="A147" s="12" t="n"/>
      <c r="B147" s="10" t="n"/>
      <c r="C147" s="10" t="n"/>
      <c r="D147" s="10" t="n"/>
      <c r="E147" s="10" t="n"/>
      <c r="F147" s="11">
        <f>IF(D147="","",COUNTIF($D$3:$D$300,D147))</f>
        <v/>
      </c>
    </row>
    <row r="148">
      <c r="A148" s="12" t="n"/>
      <c r="B148" s="10" t="n"/>
      <c r="C148" s="10" t="n"/>
      <c r="D148" s="10" t="n"/>
      <c r="E148" s="10" t="n"/>
      <c r="F148" s="11">
        <f>IF(D148="","",COUNTIF($D$3:$D$300,D148))</f>
        <v/>
      </c>
    </row>
    <row r="149">
      <c r="A149" s="12" t="n"/>
      <c r="B149" s="10" t="n"/>
      <c r="C149" s="10" t="n"/>
      <c r="D149" s="10" t="n"/>
      <c r="E149" s="10" t="n"/>
      <c r="F149" s="11">
        <f>IF(D149="","",COUNTIF($D$3:$D$300,D149))</f>
        <v/>
      </c>
    </row>
    <row r="150">
      <c r="A150" s="12" t="n"/>
      <c r="B150" s="10" t="n"/>
      <c r="C150" s="10" t="n"/>
      <c r="D150" s="10" t="n"/>
      <c r="E150" s="10" t="n"/>
      <c r="F150" s="11">
        <f>IF(D150="","",COUNTIF($D$3:$D$300,D150))</f>
        <v/>
      </c>
    </row>
    <row r="151">
      <c r="A151" s="12" t="n"/>
      <c r="B151" s="10" t="n"/>
      <c r="C151" s="10" t="n"/>
      <c r="D151" s="10" t="n"/>
      <c r="E151" s="10" t="n"/>
      <c r="F151" s="11">
        <f>IF(D151="","",COUNTIF($D$3:$D$300,D151))</f>
        <v/>
      </c>
    </row>
    <row r="152">
      <c r="A152" s="12" t="n"/>
      <c r="B152" s="10" t="n"/>
      <c r="C152" s="10" t="n"/>
      <c r="D152" s="10" t="n"/>
      <c r="E152" s="10" t="n"/>
      <c r="F152" s="11">
        <f>IF(D152="","",COUNTIF($D$3:$D$300,D152))</f>
        <v/>
      </c>
    </row>
    <row r="153">
      <c r="A153" s="12" t="n"/>
      <c r="B153" s="10" t="n"/>
      <c r="C153" s="10" t="n"/>
      <c r="D153" s="10" t="n"/>
      <c r="E153" s="10" t="n"/>
      <c r="F153" s="11">
        <f>IF(D153="","",COUNTIF($D$3:$D$300,D153))</f>
        <v/>
      </c>
    </row>
    <row r="154">
      <c r="A154" s="12" t="n"/>
      <c r="B154" s="10" t="n"/>
      <c r="C154" s="10" t="n"/>
      <c r="D154" s="10" t="n"/>
      <c r="E154" s="10" t="n"/>
      <c r="F154" s="11">
        <f>IF(D154="","",COUNTIF($D$3:$D$300,D154))</f>
        <v/>
      </c>
    </row>
    <row r="155">
      <c r="A155" s="12" t="n"/>
      <c r="B155" s="10" t="n"/>
      <c r="C155" s="10" t="n"/>
      <c r="D155" s="10" t="n"/>
      <c r="E155" s="10" t="n"/>
      <c r="F155" s="11">
        <f>IF(D155="","",COUNTIF($D$3:$D$300,D155))</f>
        <v/>
      </c>
    </row>
    <row r="156">
      <c r="A156" s="12" t="n"/>
      <c r="B156" s="10" t="n"/>
      <c r="C156" s="10" t="n"/>
      <c r="D156" s="10" t="n"/>
      <c r="E156" s="10" t="n"/>
      <c r="F156" s="11">
        <f>IF(D156="","",COUNTIF($D$3:$D$300,D156))</f>
        <v/>
      </c>
    </row>
    <row r="157">
      <c r="A157" s="12" t="n"/>
      <c r="B157" s="10" t="n"/>
      <c r="C157" s="10" t="n"/>
      <c r="D157" s="10" t="n"/>
      <c r="E157" s="10" t="n"/>
      <c r="F157" s="11">
        <f>IF(D157="","",COUNTIF($D$3:$D$300,D157))</f>
        <v/>
      </c>
    </row>
    <row r="158">
      <c r="A158" s="12" t="n"/>
      <c r="B158" s="10" t="n"/>
      <c r="C158" s="10" t="n"/>
      <c r="D158" s="10" t="n"/>
      <c r="E158" s="10" t="n"/>
      <c r="F158" s="11">
        <f>IF(D158="","",COUNTIF($D$3:$D$300,D158))</f>
        <v/>
      </c>
    </row>
    <row r="159">
      <c r="A159" s="12" t="n"/>
      <c r="B159" s="10" t="n"/>
      <c r="C159" s="10" t="n"/>
      <c r="D159" s="10" t="n"/>
      <c r="E159" s="10" t="n"/>
      <c r="F159" s="11">
        <f>IF(D159="","",COUNTIF($D$3:$D$300,D159))</f>
        <v/>
      </c>
    </row>
    <row r="160">
      <c r="A160" s="12" t="n"/>
      <c r="B160" s="10" t="n"/>
      <c r="C160" s="10" t="n"/>
      <c r="D160" s="10" t="n"/>
      <c r="E160" s="10" t="n"/>
      <c r="F160" s="11">
        <f>IF(D160="","",COUNTIF($D$3:$D$300,D160))</f>
        <v/>
      </c>
    </row>
    <row r="161">
      <c r="A161" s="12" t="n"/>
      <c r="B161" s="10" t="n"/>
      <c r="C161" s="10" t="n"/>
      <c r="D161" s="10" t="n"/>
      <c r="E161" s="10" t="n"/>
      <c r="F161" s="11">
        <f>IF(D161="","",COUNTIF($D$3:$D$300,D161))</f>
        <v/>
      </c>
    </row>
    <row r="162">
      <c r="A162" s="12" t="n"/>
      <c r="B162" s="10" t="n"/>
      <c r="C162" s="10" t="n"/>
      <c r="D162" s="10" t="n"/>
      <c r="E162" s="10" t="n"/>
      <c r="F162" s="11">
        <f>IF(D162="","",COUNTIF($D$3:$D$300,D162))</f>
        <v/>
      </c>
    </row>
    <row r="163">
      <c r="A163" s="12" t="n"/>
      <c r="B163" s="10" t="n"/>
      <c r="C163" s="10" t="n"/>
      <c r="D163" s="10" t="n"/>
      <c r="E163" s="10" t="n"/>
      <c r="F163" s="11">
        <f>IF(D163="","",COUNTIF($D$3:$D$300,D163))</f>
        <v/>
      </c>
    </row>
    <row r="164">
      <c r="A164" s="12" t="n"/>
      <c r="B164" s="10" t="n"/>
      <c r="C164" s="10" t="n"/>
      <c r="D164" s="10" t="n"/>
      <c r="E164" s="10" t="n"/>
      <c r="F164" s="11">
        <f>IF(D164="","",COUNTIF($D$3:$D$300,D164))</f>
        <v/>
      </c>
    </row>
    <row r="165">
      <c r="A165" s="12" t="n"/>
      <c r="B165" s="10" t="n"/>
      <c r="C165" s="10" t="n"/>
      <c r="D165" s="10" t="n"/>
      <c r="E165" s="10" t="n"/>
      <c r="F165" s="11">
        <f>IF(D165="","",COUNTIF($D$3:$D$300,D165))</f>
        <v/>
      </c>
    </row>
    <row r="166">
      <c r="A166" s="12" t="n"/>
      <c r="B166" s="10" t="n"/>
      <c r="C166" s="10" t="n"/>
      <c r="D166" s="10" t="n"/>
      <c r="E166" s="10" t="n"/>
      <c r="F166" s="11">
        <f>IF(D166="","",COUNTIF($D$3:$D$300,D166))</f>
        <v/>
      </c>
    </row>
    <row r="167">
      <c r="A167" s="12" t="n"/>
      <c r="B167" s="10" t="n"/>
      <c r="C167" s="10" t="n"/>
      <c r="D167" s="10" t="n"/>
      <c r="E167" s="10" t="n"/>
      <c r="F167" s="11">
        <f>IF(D167="","",COUNTIF($D$3:$D$300,D167))</f>
        <v/>
      </c>
    </row>
    <row r="168">
      <c r="A168" s="12" t="n"/>
      <c r="B168" s="10" t="n"/>
      <c r="C168" s="10" t="n"/>
      <c r="D168" s="10" t="n"/>
      <c r="E168" s="10" t="n"/>
      <c r="F168" s="11">
        <f>IF(D168="","",COUNTIF($D$3:$D$300,D168))</f>
        <v/>
      </c>
    </row>
    <row r="169">
      <c r="A169" s="12" t="n"/>
      <c r="B169" s="10" t="n"/>
      <c r="C169" s="10" t="n"/>
      <c r="D169" s="10" t="n"/>
      <c r="E169" s="10" t="n"/>
      <c r="F169" s="11">
        <f>IF(D169="","",COUNTIF($D$3:$D$300,D169))</f>
        <v/>
      </c>
    </row>
    <row r="170">
      <c r="A170" s="12" t="n"/>
      <c r="B170" s="10" t="n"/>
      <c r="C170" s="10" t="n"/>
      <c r="D170" s="10" t="n"/>
      <c r="E170" s="10" t="n"/>
      <c r="F170" s="11">
        <f>IF(D170="","",COUNTIF($D$3:$D$300,D170))</f>
        <v/>
      </c>
    </row>
    <row r="171">
      <c r="A171" s="12" t="n"/>
      <c r="B171" s="10" t="n"/>
      <c r="C171" s="10" t="n"/>
      <c r="D171" s="10" t="n"/>
      <c r="E171" s="10" t="n"/>
      <c r="F171" s="11">
        <f>IF(D171="","",COUNTIF($D$3:$D$300,D171))</f>
        <v/>
      </c>
    </row>
    <row r="172">
      <c r="A172" s="12" t="n"/>
      <c r="B172" s="10" t="n"/>
      <c r="C172" s="10" t="n"/>
      <c r="D172" s="10" t="n"/>
      <c r="E172" s="10" t="n"/>
      <c r="F172" s="11">
        <f>IF(D172="","",COUNTIF($D$3:$D$300,D172))</f>
        <v/>
      </c>
    </row>
    <row r="173">
      <c r="A173" s="12" t="n"/>
      <c r="B173" s="10" t="n"/>
      <c r="C173" s="10" t="n"/>
      <c r="D173" s="10" t="n"/>
      <c r="E173" s="10" t="n"/>
      <c r="F173" s="11">
        <f>IF(D173="","",COUNTIF($D$3:$D$300,D173))</f>
        <v/>
      </c>
    </row>
    <row r="174">
      <c r="A174" s="12" t="n"/>
      <c r="B174" s="10" t="n"/>
      <c r="C174" s="10" t="n"/>
      <c r="D174" s="10" t="n"/>
      <c r="E174" s="10" t="n"/>
      <c r="F174" s="11">
        <f>IF(D174="","",COUNTIF($D$3:$D$300,D174))</f>
        <v/>
      </c>
    </row>
    <row r="175">
      <c r="A175" s="12" t="n"/>
      <c r="B175" s="10" t="n"/>
      <c r="C175" s="10" t="n"/>
      <c r="D175" s="10" t="n"/>
      <c r="E175" s="10" t="n"/>
      <c r="F175" s="11">
        <f>IF(D175="","",COUNTIF($D$3:$D$300,D175))</f>
        <v/>
      </c>
    </row>
    <row r="176">
      <c r="A176" s="12" t="n"/>
      <c r="B176" s="10" t="n"/>
      <c r="C176" s="10" t="n"/>
      <c r="D176" s="10" t="n"/>
      <c r="E176" s="10" t="n"/>
      <c r="F176" s="11">
        <f>IF(D176="","",COUNTIF($D$3:$D$300,D176))</f>
        <v/>
      </c>
    </row>
    <row r="177">
      <c r="A177" s="12" t="n"/>
      <c r="B177" s="10" t="n"/>
      <c r="C177" s="10" t="n"/>
      <c r="D177" s="10" t="n"/>
      <c r="E177" s="10" t="n"/>
      <c r="F177" s="11">
        <f>IF(D177="","",COUNTIF($D$3:$D$300,D177))</f>
        <v/>
      </c>
    </row>
    <row r="178">
      <c r="A178" s="12" t="n"/>
      <c r="B178" s="10" t="n"/>
      <c r="C178" s="10" t="n"/>
      <c r="D178" s="10" t="n"/>
      <c r="E178" s="10" t="n"/>
      <c r="F178" s="11">
        <f>IF(D178="","",COUNTIF($D$3:$D$300,D178))</f>
        <v/>
      </c>
    </row>
    <row r="179">
      <c r="A179" s="12" t="n"/>
      <c r="B179" s="10" t="n"/>
      <c r="C179" s="10" t="n"/>
      <c r="D179" s="10" t="n"/>
      <c r="E179" s="10" t="n"/>
      <c r="F179" s="11">
        <f>IF(D179="","",COUNTIF($D$3:$D$300,D179))</f>
        <v/>
      </c>
    </row>
    <row r="180">
      <c r="A180" s="12" t="n"/>
      <c r="B180" s="10" t="n"/>
      <c r="C180" s="10" t="n"/>
      <c r="D180" s="10" t="n"/>
      <c r="E180" s="10" t="n"/>
      <c r="F180" s="11">
        <f>IF(D180="","",COUNTIF($D$3:$D$300,D180))</f>
        <v/>
      </c>
    </row>
    <row r="181">
      <c r="A181" s="12" t="n"/>
      <c r="B181" s="10" t="n"/>
      <c r="C181" s="10" t="n"/>
      <c r="D181" s="10" t="n"/>
      <c r="E181" s="10" t="n"/>
      <c r="F181" s="11">
        <f>IF(D181="","",COUNTIF($D$3:$D$300,D181))</f>
        <v/>
      </c>
    </row>
    <row r="182">
      <c r="A182" s="12" t="n"/>
      <c r="B182" s="10" t="n"/>
      <c r="C182" s="10" t="n"/>
      <c r="D182" s="10" t="n"/>
      <c r="E182" s="10" t="n"/>
      <c r="F182" s="11">
        <f>IF(D182="","",COUNTIF($D$3:$D$300,D182))</f>
        <v/>
      </c>
    </row>
    <row r="183">
      <c r="A183" s="12" t="n"/>
      <c r="B183" s="10" t="n"/>
      <c r="C183" s="10" t="n"/>
      <c r="D183" s="10" t="n"/>
      <c r="E183" s="10" t="n"/>
      <c r="F183" s="11">
        <f>IF(D183="","",COUNTIF($D$3:$D$300,D183))</f>
        <v/>
      </c>
    </row>
    <row r="184">
      <c r="A184" s="12" t="n"/>
      <c r="B184" s="10" t="n"/>
      <c r="C184" s="10" t="n"/>
      <c r="D184" s="10" t="n"/>
      <c r="E184" s="10" t="n"/>
      <c r="F184" s="11">
        <f>IF(D184="","",COUNTIF($D$3:$D$300,D184))</f>
        <v/>
      </c>
    </row>
    <row r="185">
      <c r="A185" s="12" t="n"/>
      <c r="B185" s="10" t="n"/>
      <c r="C185" s="10" t="n"/>
      <c r="D185" s="10" t="n"/>
      <c r="E185" s="10" t="n"/>
      <c r="F185" s="11">
        <f>IF(D185="","",COUNTIF($D$3:$D$300,D185))</f>
        <v/>
      </c>
    </row>
    <row r="186">
      <c r="A186" s="12" t="n"/>
      <c r="B186" s="10" t="n"/>
      <c r="C186" s="10" t="n"/>
      <c r="D186" s="10" t="n"/>
      <c r="E186" s="10" t="n"/>
      <c r="F186" s="11">
        <f>IF(D186="","",COUNTIF($D$3:$D$300,D186))</f>
        <v/>
      </c>
    </row>
    <row r="187">
      <c r="A187" s="12" t="n"/>
      <c r="B187" s="10" t="n"/>
      <c r="C187" s="10" t="n"/>
      <c r="D187" s="10" t="n"/>
      <c r="E187" s="10" t="n"/>
      <c r="F187" s="11">
        <f>IF(D187="","",COUNTIF($D$3:$D$300,D187))</f>
        <v/>
      </c>
    </row>
    <row r="188">
      <c r="A188" s="12" t="n"/>
      <c r="B188" s="10" t="n"/>
      <c r="C188" s="10" t="n"/>
      <c r="D188" s="10" t="n"/>
      <c r="E188" s="10" t="n"/>
      <c r="F188" s="11">
        <f>IF(D188="","",COUNTIF($D$3:$D$300,D188))</f>
        <v/>
      </c>
    </row>
    <row r="189">
      <c r="A189" s="12" t="n"/>
      <c r="B189" s="10" t="n"/>
      <c r="C189" s="10" t="n"/>
      <c r="D189" s="10" t="n"/>
      <c r="E189" s="10" t="n"/>
      <c r="F189" s="11">
        <f>IF(D189="","",COUNTIF($D$3:$D$300,D189))</f>
        <v/>
      </c>
    </row>
    <row r="190">
      <c r="A190" s="12" t="n"/>
      <c r="B190" s="10" t="n"/>
      <c r="C190" s="10" t="n"/>
      <c r="D190" s="10" t="n"/>
      <c r="E190" s="10" t="n"/>
      <c r="F190" s="11">
        <f>IF(D190="","",COUNTIF($D$3:$D$300,D190))</f>
        <v/>
      </c>
    </row>
    <row r="191">
      <c r="A191" s="12" t="n"/>
      <c r="B191" s="10" t="n"/>
      <c r="C191" s="10" t="n"/>
      <c r="D191" s="10" t="n"/>
      <c r="E191" s="10" t="n"/>
      <c r="F191" s="11">
        <f>IF(D191="","",COUNTIF($D$3:$D$300,D191))</f>
        <v/>
      </c>
    </row>
    <row r="192">
      <c r="A192" s="12" t="n"/>
      <c r="B192" s="10" t="n"/>
      <c r="C192" s="10" t="n"/>
      <c r="D192" s="10" t="n"/>
      <c r="E192" s="10" t="n"/>
      <c r="F192" s="11">
        <f>IF(D192="","",COUNTIF($D$3:$D$300,D192))</f>
        <v/>
      </c>
    </row>
    <row r="193">
      <c r="A193" s="12" t="n"/>
      <c r="B193" s="10" t="n"/>
      <c r="C193" s="10" t="n"/>
      <c r="D193" s="10" t="n"/>
      <c r="E193" s="10" t="n"/>
      <c r="F193" s="11">
        <f>IF(D193="","",COUNTIF($D$3:$D$300,D193))</f>
        <v/>
      </c>
    </row>
    <row r="194">
      <c r="A194" s="12" t="n"/>
      <c r="B194" s="10" t="n"/>
      <c r="C194" s="10" t="n"/>
      <c r="D194" s="10" t="n"/>
      <c r="E194" s="10" t="n"/>
      <c r="F194" s="11">
        <f>IF(D194="","",COUNTIF($D$3:$D$300,D194))</f>
        <v/>
      </c>
    </row>
    <row r="195">
      <c r="A195" s="12" t="n"/>
      <c r="B195" s="10" t="n"/>
      <c r="C195" s="10" t="n"/>
      <c r="D195" s="10" t="n"/>
      <c r="E195" s="10" t="n"/>
      <c r="F195" s="11">
        <f>IF(D195="","",COUNTIF($D$3:$D$300,D195))</f>
        <v/>
      </c>
    </row>
    <row r="196">
      <c r="A196" s="12" t="n"/>
      <c r="B196" s="10" t="n"/>
      <c r="C196" s="10" t="n"/>
      <c r="D196" s="10" t="n"/>
      <c r="E196" s="10" t="n"/>
      <c r="F196" s="11">
        <f>IF(D196="","",COUNTIF($D$3:$D$300,D196))</f>
        <v/>
      </c>
    </row>
    <row r="197">
      <c r="A197" s="12" t="n"/>
      <c r="B197" s="10" t="n"/>
      <c r="C197" s="10" t="n"/>
      <c r="D197" s="10" t="n"/>
      <c r="E197" s="10" t="n"/>
      <c r="F197" s="11">
        <f>IF(D197="","",COUNTIF($D$3:$D$300,D197))</f>
        <v/>
      </c>
    </row>
    <row r="198">
      <c r="A198" s="12" t="n"/>
      <c r="B198" s="10" t="n"/>
      <c r="C198" s="10" t="n"/>
      <c r="D198" s="10" t="n"/>
      <c r="E198" s="10" t="n"/>
      <c r="F198" s="11">
        <f>IF(D198="","",COUNTIF($D$3:$D$300,D198))</f>
        <v/>
      </c>
    </row>
    <row r="199">
      <c r="A199" s="12" t="n"/>
      <c r="B199" s="10" t="n"/>
      <c r="C199" s="10" t="n"/>
      <c r="D199" s="10" t="n"/>
      <c r="E199" s="10" t="n"/>
      <c r="F199" s="11">
        <f>IF(D199="","",COUNTIF($D$3:$D$300,D199))</f>
        <v/>
      </c>
    </row>
    <row r="200">
      <c r="A200" s="12" t="n"/>
      <c r="B200" s="10" t="n"/>
      <c r="C200" s="10" t="n"/>
      <c r="D200" s="10" t="n"/>
      <c r="E200" s="10" t="n"/>
      <c r="F200" s="11">
        <f>IF(D200="","",COUNTIF($D$3:$D$300,D200))</f>
        <v/>
      </c>
    </row>
    <row r="201">
      <c r="A201" s="12" t="n"/>
      <c r="B201" s="10" t="n"/>
      <c r="C201" s="10" t="n"/>
      <c r="D201" s="10" t="n"/>
      <c r="E201" s="10" t="n"/>
      <c r="F201" s="11">
        <f>IF(D201="","",COUNTIF($D$3:$D$300,D201))</f>
        <v/>
      </c>
    </row>
    <row r="202">
      <c r="A202" s="12" t="n"/>
      <c r="B202" s="10" t="n"/>
      <c r="C202" s="10" t="n"/>
      <c r="D202" s="10" t="n"/>
      <c r="E202" s="10" t="n"/>
      <c r="F202" s="11">
        <f>IF(D202="","",COUNTIF($D$3:$D$300,D202))</f>
        <v/>
      </c>
    </row>
    <row r="203">
      <c r="A203" s="12" t="n"/>
      <c r="B203" s="10" t="n"/>
      <c r="C203" s="10" t="n"/>
      <c r="D203" s="10" t="n"/>
      <c r="E203" s="10" t="n"/>
      <c r="F203" s="11">
        <f>IF(D203="","",COUNTIF($D$3:$D$300,D203))</f>
        <v/>
      </c>
    </row>
    <row r="204">
      <c r="A204" s="12" t="n"/>
      <c r="B204" s="10" t="n"/>
      <c r="C204" s="10" t="n"/>
      <c r="D204" s="10" t="n"/>
      <c r="E204" s="10" t="n"/>
      <c r="F204" s="11">
        <f>IF(D204="","",COUNTIF($D$3:$D$300,D204))</f>
        <v/>
      </c>
    </row>
    <row r="205">
      <c r="A205" s="12" t="n"/>
      <c r="B205" s="10" t="n"/>
      <c r="C205" s="10" t="n"/>
      <c r="D205" s="10" t="n"/>
      <c r="E205" s="10" t="n"/>
      <c r="F205" s="11">
        <f>IF(D205="","",COUNTIF($D$3:$D$300,D205))</f>
        <v/>
      </c>
    </row>
    <row r="206">
      <c r="A206" s="12" t="n"/>
      <c r="B206" s="10" t="n"/>
      <c r="C206" s="10" t="n"/>
      <c r="D206" s="10" t="n"/>
      <c r="E206" s="10" t="n"/>
      <c r="F206" s="11">
        <f>IF(D206="","",COUNTIF($D$3:$D$300,D206))</f>
        <v/>
      </c>
    </row>
    <row r="207">
      <c r="A207" s="12" t="n"/>
      <c r="B207" s="10" t="n"/>
      <c r="C207" s="10" t="n"/>
      <c r="D207" s="10" t="n"/>
      <c r="E207" s="10" t="n"/>
      <c r="F207" s="11">
        <f>IF(D207="","",COUNTIF($D$3:$D$300,D207))</f>
        <v/>
      </c>
    </row>
    <row r="208">
      <c r="A208" s="12" t="n"/>
      <c r="B208" s="10" t="n"/>
      <c r="C208" s="10" t="n"/>
      <c r="D208" s="10" t="n"/>
      <c r="E208" s="10" t="n"/>
      <c r="F208" s="11">
        <f>IF(D208="","",COUNTIF($D$3:$D$300,D208))</f>
        <v/>
      </c>
    </row>
    <row r="209">
      <c r="A209" s="12" t="n"/>
      <c r="B209" s="10" t="n"/>
      <c r="C209" s="10" t="n"/>
      <c r="D209" s="10" t="n"/>
      <c r="E209" s="10" t="n"/>
      <c r="F209" s="11">
        <f>IF(D209="","",COUNTIF($D$3:$D$300,D209))</f>
        <v/>
      </c>
    </row>
    <row r="210">
      <c r="A210" s="12" t="n"/>
      <c r="B210" s="10" t="n"/>
      <c r="C210" s="10" t="n"/>
      <c r="D210" s="10" t="n"/>
      <c r="E210" s="10" t="n"/>
      <c r="F210" s="11">
        <f>IF(D210="","",COUNTIF($D$3:$D$300,D210))</f>
        <v/>
      </c>
    </row>
    <row r="211">
      <c r="A211" s="12" t="n"/>
      <c r="B211" s="10" t="n"/>
      <c r="C211" s="10" t="n"/>
      <c r="D211" s="10" t="n"/>
      <c r="E211" s="10" t="n"/>
      <c r="F211" s="11">
        <f>IF(D211="","",COUNTIF($D$3:$D$300,D211))</f>
        <v/>
      </c>
    </row>
    <row r="212">
      <c r="A212" s="12" t="n"/>
      <c r="B212" s="10" t="n"/>
      <c r="C212" s="10" t="n"/>
      <c r="D212" s="10" t="n"/>
      <c r="E212" s="10" t="n"/>
      <c r="F212" s="11">
        <f>IF(D212="","",COUNTIF($D$3:$D$300,D212))</f>
        <v/>
      </c>
    </row>
    <row r="213">
      <c r="A213" s="12" t="n"/>
      <c r="B213" s="10" t="n"/>
      <c r="C213" s="10" t="n"/>
      <c r="D213" s="10" t="n"/>
      <c r="E213" s="10" t="n"/>
      <c r="F213" s="11">
        <f>IF(D213="","",COUNTIF($D$3:$D$300,D213))</f>
        <v/>
      </c>
    </row>
    <row r="214">
      <c r="A214" s="12" t="n"/>
      <c r="B214" s="10" t="n"/>
      <c r="C214" s="10" t="n"/>
      <c r="D214" s="10" t="n"/>
      <c r="E214" s="10" t="n"/>
      <c r="F214" s="11">
        <f>IF(D214="","",COUNTIF($D$3:$D$300,D214))</f>
        <v/>
      </c>
    </row>
    <row r="215">
      <c r="A215" s="12" t="n"/>
      <c r="B215" s="10" t="n"/>
      <c r="C215" s="10" t="n"/>
      <c r="D215" s="10" t="n"/>
      <c r="E215" s="10" t="n"/>
      <c r="F215" s="11">
        <f>IF(D215="","",COUNTIF($D$3:$D$300,D215))</f>
        <v/>
      </c>
    </row>
    <row r="216">
      <c r="A216" s="12" t="n"/>
      <c r="B216" s="10" t="n"/>
      <c r="C216" s="10" t="n"/>
      <c r="D216" s="10" t="n"/>
      <c r="E216" s="10" t="n"/>
      <c r="F216" s="11">
        <f>IF(D216="","",COUNTIF($D$3:$D$300,D216))</f>
        <v/>
      </c>
    </row>
    <row r="217">
      <c r="A217" s="12" t="n"/>
      <c r="B217" s="10" t="n"/>
      <c r="C217" s="10" t="n"/>
      <c r="D217" s="10" t="n"/>
      <c r="E217" s="10" t="n"/>
      <c r="F217" s="11">
        <f>IF(D217="","",COUNTIF($D$3:$D$300,D217))</f>
        <v/>
      </c>
    </row>
    <row r="218">
      <c r="A218" s="12" t="n"/>
      <c r="B218" s="10" t="n"/>
      <c r="C218" s="10" t="n"/>
      <c r="D218" s="10" t="n"/>
      <c r="E218" s="10" t="n"/>
      <c r="F218" s="11">
        <f>IF(D218="","",COUNTIF($D$3:$D$300,D218))</f>
        <v/>
      </c>
    </row>
    <row r="219">
      <c r="A219" s="12" t="n"/>
      <c r="B219" s="10" t="n"/>
      <c r="C219" s="10" t="n"/>
      <c r="D219" s="10" t="n"/>
      <c r="E219" s="10" t="n"/>
      <c r="F219" s="11">
        <f>IF(D219="","",COUNTIF($D$3:$D$300,D219))</f>
        <v/>
      </c>
    </row>
    <row r="220">
      <c r="A220" s="12" t="n"/>
      <c r="B220" s="10" t="n"/>
      <c r="C220" s="10" t="n"/>
      <c r="D220" s="10" t="n"/>
      <c r="E220" s="10" t="n"/>
      <c r="F220" s="11">
        <f>IF(D220="","",COUNTIF($D$3:$D$300,D220))</f>
        <v/>
      </c>
    </row>
    <row r="221">
      <c r="A221" s="12" t="n"/>
      <c r="B221" s="10" t="n"/>
      <c r="C221" s="10" t="n"/>
      <c r="D221" s="10" t="n"/>
      <c r="E221" s="10" t="n"/>
      <c r="F221" s="11">
        <f>IF(D221="","",COUNTIF($D$3:$D$300,D221))</f>
        <v/>
      </c>
    </row>
    <row r="222">
      <c r="A222" s="12" t="n"/>
      <c r="B222" s="10" t="n"/>
      <c r="C222" s="10" t="n"/>
      <c r="D222" s="10" t="n"/>
      <c r="E222" s="10" t="n"/>
      <c r="F222" s="11">
        <f>IF(D222="","",COUNTIF($D$3:$D$300,D222))</f>
        <v/>
      </c>
    </row>
    <row r="223">
      <c r="A223" s="12" t="n"/>
      <c r="B223" s="10" t="n"/>
      <c r="C223" s="10" t="n"/>
      <c r="D223" s="10" t="n"/>
      <c r="E223" s="10" t="n"/>
      <c r="F223" s="11">
        <f>IF(D223="","",COUNTIF($D$3:$D$300,D223))</f>
        <v/>
      </c>
    </row>
    <row r="224">
      <c r="A224" s="12" t="n"/>
      <c r="B224" s="10" t="n"/>
      <c r="C224" s="10" t="n"/>
      <c r="D224" s="10" t="n"/>
      <c r="E224" s="10" t="n"/>
      <c r="F224" s="11">
        <f>IF(D224="","",COUNTIF($D$3:$D$300,D224))</f>
        <v/>
      </c>
    </row>
    <row r="225">
      <c r="A225" s="12" t="n"/>
      <c r="B225" s="10" t="n"/>
      <c r="C225" s="10" t="n"/>
      <c r="D225" s="10" t="n"/>
      <c r="E225" s="10" t="n"/>
      <c r="F225" s="11">
        <f>IF(D225="","",COUNTIF($D$3:$D$300,D225))</f>
        <v/>
      </c>
    </row>
    <row r="226">
      <c r="A226" s="12" t="n"/>
      <c r="B226" s="10" t="n"/>
      <c r="C226" s="10" t="n"/>
      <c r="D226" s="10" t="n"/>
      <c r="E226" s="10" t="n"/>
      <c r="F226" s="11">
        <f>IF(D226="","",COUNTIF($D$3:$D$300,D226))</f>
        <v/>
      </c>
    </row>
    <row r="227">
      <c r="A227" s="12" t="n"/>
      <c r="B227" s="10" t="n"/>
      <c r="C227" s="10" t="n"/>
      <c r="D227" s="10" t="n"/>
      <c r="E227" s="10" t="n"/>
      <c r="F227" s="11">
        <f>IF(D227="","",COUNTIF($D$3:$D$300,D227))</f>
        <v/>
      </c>
    </row>
    <row r="228">
      <c r="A228" s="12" t="n"/>
      <c r="B228" s="10" t="n"/>
      <c r="C228" s="10" t="n"/>
      <c r="D228" s="10" t="n"/>
      <c r="E228" s="10" t="n"/>
      <c r="F228" s="11">
        <f>IF(D228="","",COUNTIF($D$3:$D$300,D228))</f>
        <v/>
      </c>
    </row>
    <row r="229">
      <c r="A229" s="12" t="n"/>
      <c r="B229" s="10" t="n"/>
      <c r="C229" s="10" t="n"/>
      <c r="D229" s="10" t="n"/>
      <c r="E229" s="10" t="n"/>
      <c r="F229" s="11">
        <f>IF(D229="","",COUNTIF($D$3:$D$300,D229))</f>
        <v/>
      </c>
    </row>
    <row r="230">
      <c r="A230" s="12" t="n"/>
      <c r="B230" s="10" t="n"/>
      <c r="C230" s="10" t="n"/>
      <c r="D230" s="10" t="n"/>
      <c r="E230" s="10" t="n"/>
      <c r="F230" s="11">
        <f>IF(D230="","",COUNTIF($D$3:$D$300,D230))</f>
        <v/>
      </c>
    </row>
    <row r="231">
      <c r="A231" s="12" t="n"/>
      <c r="B231" s="10" t="n"/>
      <c r="C231" s="10" t="n"/>
      <c r="D231" s="10" t="n"/>
      <c r="E231" s="10" t="n"/>
      <c r="F231" s="11">
        <f>IF(D231="","",COUNTIF($D$3:$D$300,D231))</f>
        <v/>
      </c>
    </row>
    <row r="232">
      <c r="A232" s="12" t="n"/>
      <c r="B232" s="10" t="n"/>
      <c r="C232" s="10" t="n"/>
      <c r="D232" s="10" t="n"/>
      <c r="E232" s="10" t="n"/>
      <c r="F232" s="11">
        <f>IF(D232="","",COUNTIF($D$3:$D$300,D232))</f>
        <v/>
      </c>
    </row>
    <row r="233">
      <c r="A233" s="12" t="n"/>
      <c r="B233" s="10" t="n"/>
      <c r="C233" s="10" t="n"/>
      <c r="D233" s="10" t="n"/>
      <c r="E233" s="10" t="n"/>
      <c r="F233" s="11">
        <f>IF(D233="","",COUNTIF($D$3:$D$300,D233))</f>
        <v/>
      </c>
    </row>
    <row r="234">
      <c r="A234" s="12" t="n"/>
      <c r="B234" s="10" t="n"/>
      <c r="C234" s="10" t="n"/>
      <c r="D234" s="10" t="n"/>
      <c r="E234" s="10" t="n"/>
      <c r="F234" s="11">
        <f>IF(D234="","",COUNTIF($D$3:$D$300,D234))</f>
        <v/>
      </c>
    </row>
    <row r="235">
      <c r="A235" s="12" t="n"/>
      <c r="B235" s="10" t="n"/>
      <c r="C235" s="10" t="n"/>
      <c r="D235" s="10" t="n"/>
      <c r="E235" s="10" t="n"/>
      <c r="F235" s="11">
        <f>IF(D235="","",COUNTIF($D$3:$D$300,D235))</f>
        <v/>
      </c>
    </row>
    <row r="236">
      <c r="A236" s="12" t="n"/>
      <c r="B236" s="10" t="n"/>
      <c r="C236" s="10" t="n"/>
      <c r="D236" s="10" t="n"/>
      <c r="E236" s="10" t="n"/>
      <c r="F236" s="11">
        <f>IF(D236="","",COUNTIF($D$3:$D$300,D236))</f>
        <v/>
      </c>
    </row>
    <row r="237">
      <c r="A237" s="12" t="n"/>
      <c r="B237" s="10" t="n"/>
      <c r="C237" s="10" t="n"/>
      <c r="D237" s="10" t="n"/>
      <c r="E237" s="10" t="n"/>
      <c r="F237" s="11">
        <f>IF(D237="","",COUNTIF($D$3:$D$300,D237))</f>
        <v/>
      </c>
    </row>
    <row r="238">
      <c r="A238" s="12" t="n"/>
      <c r="B238" s="10" t="n"/>
      <c r="C238" s="10" t="n"/>
      <c r="D238" s="10" t="n"/>
      <c r="E238" s="10" t="n"/>
      <c r="F238" s="11">
        <f>IF(D238="","",COUNTIF($D$3:$D$300,D238))</f>
        <v/>
      </c>
    </row>
    <row r="239">
      <c r="A239" s="12" t="n"/>
      <c r="B239" s="10" t="n"/>
      <c r="C239" s="10" t="n"/>
      <c r="D239" s="10" t="n"/>
      <c r="E239" s="10" t="n"/>
      <c r="F239" s="11">
        <f>IF(D239="","",COUNTIF($D$3:$D$300,D239))</f>
        <v/>
      </c>
    </row>
    <row r="240">
      <c r="A240" s="12" t="n"/>
      <c r="B240" s="10" t="n"/>
      <c r="C240" s="10" t="n"/>
      <c r="D240" s="10" t="n"/>
      <c r="E240" s="10" t="n"/>
      <c r="F240" s="11">
        <f>IF(D240="","",COUNTIF($D$3:$D$300,D240))</f>
        <v/>
      </c>
    </row>
    <row r="241">
      <c r="A241" s="12" t="n"/>
      <c r="B241" s="10" t="n"/>
      <c r="C241" s="10" t="n"/>
      <c r="D241" s="10" t="n"/>
      <c r="E241" s="10" t="n"/>
      <c r="F241" s="11">
        <f>IF(D241="","",COUNTIF($D$3:$D$300,D241))</f>
        <v/>
      </c>
    </row>
    <row r="242">
      <c r="A242" s="12" t="n"/>
      <c r="B242" s="10" t="n"/>
      <c r="C242" s="10" t="n"/>
      <c r="D242" s="10" t="n"/>
      <c r="E242" s="10" t="n"/>
      <c r="F242" s="11">
        <f>IF(D242="","",COUNTIF($D$3:$D$300,D242))</f>
        <v/>
      </c>
    </row>
    <row r="243">
      <c r="A243" s="12" t="n"/>
      <c r="B243" s="10" t="n"/>
      <c r="C243" s="10" t="n"/>
      <c r="D243" s="10" t="n"/>
      <c r="E243" s="10" t="n"/>
      <c r="F243" s="11">
        <f>IF(D243="","",COUNTIF($D$3:$D$300,D243))</f>
        <v/>
      </c>
    </row>
    <row r="244">
      <c r="A244" s="12" t="n"/>
      <c r="B244" s="10" t="n"/>
      <c r="C244" s="10" t="n"/>
      <c r="D244" s="10" t="n"/>
      <c r="E244" s="10" t="n"/>
      <c r="F244" s="11">
        <f>IF(D244="","",COUNTIF($D$3:$D$300,D244))</f>
        <v/>
      </c>
    </row>
    <row r="245">
      <c r="A245" s="12" t="n"/>
      <c r="B245" s="10" t="n"/>
      <c r="C245" s="10" t="n"/>
      <c r="D245" s="10" t="n"/>
      <c r="E245" s="10" t="n"/>
      <c r="F245" s="11">
        <f>IF(D245="","",COUNTIF($D$3:$D$300,D245))</f>
        <v/>
      </c>
    </row>
    <row r="246">
      <c r="A246" s="12" t="n"/>
      <c r="B246" s="10" t="n"/>
      <c r="C246" s="10" t="n"/>
      <c r="D246" s="10" t="n"/>
      <c r="E246" s="10" t="n"/>
      <c r="F246" s="11">
        <f>IF(D246="","",COUNTIF($D$3:$D$300,D246))</f>
        <v/>
      </c>
    </row>
    <row r="247">
      <c r="A247" s="12" t="n"/>
      <c r="B247" s="10" t="n"/>
      <c r="C247" s="10" t="n"/>
      <c r="D247" s="10" t="n"/>
      <c r="E247" s="10" t="n"/>
      <c r="F247" s="11">
        <f>IF(D247="","",COUNTIF($D$3:$D$300,D247))</f>
        <v/>
      </c>
    </row>
    <row r="248">
      <c r="A248" s="12" t="n"/>
      <c r="B248" s="10" t="n"/>
      <c r="C248" s="10" t="n"/>
      <c r="D248" s="10" t="n"/>
      <c r="E248" s="10" t="n"/>
      <c r="F248" s="11">
        <f>IF(D248="","",COUNTIF($D$3:$D$300,D248))</f>
        <v/>
      </c>
    </row>
    <row r="249">
      <c r="A249" s="12" t="n"/>
      <c r="B249" s="10" t="n"/>
      <c r="C249" s="10" t="n"/>
      <c r="D249" s="10" t="n"/>
      <c r="E249" s="10" t="n"/>
      <c r="F249" s="11">
        <f>IF(D249="","",COUNTIF($D$3:$D$300,D249))</f>
        <v/>
      </c>
    </row>
    <row r="250">
      <c r="A250" s="12" t="n"/>
      <c r="B250" s="10" t="n"/>
      <c r="C250" s="10" t="n"/>
      <c r="D250" s="10" t="n"/>
      <c r="E250" s="10" t="n"/>
      <c r="F250" s="11">
        <f>IF(D250="","",COUNTIF($D$3:$D$300,D250))</f>
        <v/>
      </c>
    </row>
    <row r="251">
      <c r="A251" s="12" t="n"/>
      <c r="B251" s="10" t="n"/>
      <c r="C251" s="10" t="n"/>
      <c r="D251" s="10" t="n"/>
      <c r="E251" s="10" t="n"/>
      <c r="F251" s="11">
        <f>IF(D251="","",COUNTIF($D$3:$D$300,D251))</f>
        <v/>
      </c>
    </row>
    <row r="252">
      <c r="A252" s="12" t="n"/>
      <c r="B252" s="10" t="n"/>
      <c r="C252" s="10" t="n"/>
      <c r="D252" s="10" t="n"/>
      <c r="E252" s="10" t="n"/>
      <c r="F252" s="11">
        <f>IF(D252="","",COUNTIF($D$3:$D$300,D252))</f>
        <v/>
      </c>
    </row>
    <row r="253">
      <c r="A253" s="12" t="n"/>
      <c r="B253" s="10" t="n"/>
      <c r="C253" s="10" t="n"/>
      <c r="D253" s="10" t="n"/>
      <c r="E253" s="10" t="n"/>
      <c r="F253" s="11">
        <f>IF(D253="","",COUNTIF($D$3:$D$300,D253))</f>
        <v/>
      </c>
    </row>
    <row r="254">
      <c r="A254" s="12" t="n"/>
      <c r="B254" s="10" t="n"/>
      <c r="C254" s="10" t="n"/>
      <c r="D254" s="10" t="n"/>
      <c r="E254" s="10" t="n"/>
      <c r="F254" s="11">
        <f>IF(D254="","",COUNTIF($D$3:$D$300,D254))</f>
        <v/>
      </c>
    </row>
    <row r="255">
      <c r="A255" s="12" t="n"/>
      <c r="B255" s="10" t="n"/>
      <c r="C255" s="10" t="n"/>
      <c r="D255" s="10" t="n"/>
      <c r="E255" s="10" t="n"/>
      <c r="F255" s="11">
        <f>IF(D255="","",COUNTIF($D$3:$D$300,D255))</f>
        <v/>
      </c>
    </row>
    <row r="256">
      <c r="A256" s="12" t="n"/>
      <c r="B256" s="10" t="n"/>
      <c r="C256" s="10" t="n"/>
      <c r="D256" s="10" t="n"/>
      <c r="E256" s="10" t="n"/>
      <c r="F256" s="11">
        <f>IF(D256="","",COUNTIF($D$3:$D$300,D256))</f>
        <v/>
      </c>
    </row>
    <row r="257">
      <c r="A257" s="12" t="n"/>
      <c r="B257" s="10" t="n"/>
      <c r="C257" s="10" t="n"/>
      <c r="D257" s="10" t="n"/>
      <c r="E257" s="10" t="n"/>
      <c r="F257" s="11">
        <f>IF(D257="","",COUNTIF($D$3:$D$300,D257))</f>
        <v/>
      </c>
    </row>
    <row r="258">
      <c r="A258" s="12" t="n"/>
      <c r="B258" s="10" t="n"/>
      <c r="C258" s="10" t="n"/>
      <c r="D258" s="10" t="n"/>
      <c r="E258" s="10" t="n"/>
      <c r="F258" s="11">
        <f>IF(D258="","",COUNTIF($D$3:$D$300,D258))</f>
        <v/>
      </c>
    </row>
    <row r="259">
      <c r="A259" s="12" t="n"/>
      <c r="B259" s="10" t="n"/>
      <c r="C259" s="10" t="n"/>
      <c r="D259" s="10" t="n"/>
      <c r="E259" s="10" t="n"/>
      <c r="F259" s="11">
        <f>IF(D259="","",COUNTIF($D$3:$D$300,D259))</f>
        <v/>
      </c>
    </row>
    <row r="260">
      <c r="A260" s="12" t="n"/>
      <c r="B260" s="10" t="n"/>
      <c r="C260" s="10" t="n"/>
      <c r="D260" s="10" t="n"/>
      <c r="E260" s="10" t="n"/>
      <c r="F260" s="11">
        <f>IF(D260="","",COUNTIF($D$3:$D$300,D260))</f>
        <v/>
      </c>
    </row>
    <row r="261">
      <c r="A261" s="12" t="n"/>
      <c r="B261" s="10" t="n"/>
      <c r="C261" s="10" t="n"/>
      <c r="D261" s="10" t="n"/>
      <c r="E261" s="10" t="n"/>
      <c r="F261" s="11">
        <f>IF(D261="","",COUNTIF($D$3:$D$300,D261))</f>
        <v/>
      </c>
    </row>
    <row r="262">
      <c r="A262" s="12" t="n"/>
      <c r="B262" s="10" t="n"/>
      <c r="C262" s="10" t="n"/>
      <c r="D262" s="10" t="n"/>
      <c r="E262" s="10" t="n"/>
      <c r="F262" s="11">
        <f>IF(D262="","",COUNTIF($D$3:$D$300,D262))</f>
        <v/>
      </c>
    </row>
    <row r="263">
      <c r="A263" s="12" t="n"/>
      <c r="B263" s="10" t="n"/>
      <c r="C263" s="10" t="n"/>
      <c r="D263" s="10" t="n"/>
      <c r="E263" s="10" t="n"/>
      <c r="F263" s="11">
        <f>IF(D263="","",COUNTIF($D$3:$D$300,D263))</f>
        <v/>
      </c>
    </row>
    <row r="264">
      <c r="A264" s="12" t="n"/>
      <c r="B264" s="10" t="n"/>
      <c r="C264" s="10" t="n"/>
      <c r="D264" s="10" t="n"/>
      <c r="E264" s="10" t="n"/>
      <c r="F264" s="11">
        <f>IF(D264="","",COUNTIF($D$3:$D$300,D264))</f>
        <v/>
      </c>
    </row>
    <row r="265">
      <c r="A265" s="12" t="n"/>
      <c r="B265" s="10" t="n"/>
      <c r="C265" s="10" t="n"/>
      <c r="D265" s="10" t="n"/>
      <c r="E265" s="10" t="n"/>
      <c r="F265" s="11">
        <f>IF(D265="","",COUNTIF($D$3:$D$300,D265))</f>
        <v/>
      </c>
    </row>
    <row r="266">
      <c r="A266" s="12" t="n"/>
      <c r="B266" s="10" t="n"/>
      <c r="C266" s="10" t="n"/>
      <c r="D266" s="10" t="n"/>
      <c r="E266" s="10" t="n"/>
      <c r="F266" s="11">
        <f>IF(D266="","",COUNTIF($D$3:$D$300,D266))</f>
        <v/>
      </c>
    </row>
    <row r="267">
      <c r="A267" s="12" t="n"/>
      <c r="B267" s="10" t="n"/>
      <c r="C267" s="10" t="n"/>
      <c r="D267" s="10" t="n"/>
      <c r="E267" s="10" t="n"/>
      <c r="F267" s="11">
        <f>IF(D267="","",COUNTIF($D$3:$D$300,D267))</f>
        <v/>
      </c>
    </row>
    <row r="268">
      <c r="A268" s="12" t="n"/>
      <c r="B268" s="10" t="n"/>
      <c r="C268" s="10" t="n"/>
      <c r="D268" s="10" t="n"/>
      <c r="E268" s="10" t="n"/>
      <c r="F268" s="11">
        <f>IF(D268="","",COUNTIF($D$3:$D$300,D268))</f>
        <v/>
      </c>
    </row>
    <row r="269">
      <c r="A269" s="12" t="n"/>
      <c r="B269" s="10" t="n"/>
      <c r="C269" s="10" t="n"/>
      <c r="D269" s="10" t="n"/>
      <c r="E269" s="10" t="n"/>
      <c r="F269" s="11">
        <f>IF(D269="","",COUNTIF($D$3:$D$300,D269))</f>
        <v/>
      </c>
    </row>
    <row r="270">
      <c r="A270" s="12" t="n"/>
      <c r="B270" s="10" t="n"/>
      <c r="C270" s="10" t="n"/>
      <c r="D270" s="10" t="n"/>
      <c r="E270" s="10" t="n"/>
      <c r="F270" s="11">
        <f>IF(D270="","",COUNTIF($D$3:$D$300,D270))</f>
        <v/>
      </c>
    </row>
    <row r="271">
      <c r="A271" s="12" t="n"/>
      <c r="B271" s="10" t="n"/>
      <c r="C271" s="10" t="n"/>
      <c r="D271" s="10" t="n"/>
      <c r="E271" s="10" t="n"/>
      <c r="F271" s="11">
        <f>IF(D271="","",COUNTIF($D$3:$D$300,D271))</f>
        <v/>
      </c>
    </row>
    <row r="272">
      <c r="A272" s="12" t="n"/>
      <c r="B272" s="10" t="n"/>
      <c r="C272" s="10" t="n"/>
      <c r="D272" s="10" t="n"/>
      <c r="E272" s="10" t="n"/>
      <c r="F272" s="11">
        <f>IF(D272="","",COUNTIF($D$3:$D$300,D272))</f>
        <v/>
      </c>
    </row>
    <row r="273">
      <c r="A273" s="12" t="n"/>
      <c r="B273" s="10" t="n"/>
      <c r="C273" s="10" t="n"/>
      <c r="D273" s="10" t="n"/>
      <c r="E273" s="10" t="n"/>
      <c r="F273" s="11">
        <f>IF(D273="","",COUNTIF($D$3:$D$300,D273))</f>
        <v/>
      </c>
    </row>
    <row r="274">
      <c r="A274" s="12" t="n"/>
      <c r="B274" s="10" t="n"/>
      <c r="C274" s="10" t="n"/>
      <c r="D274" s="10" t="n"/>
      <c r="E274" s="10" t="n"/>
      <c r="F274" s="11">
        <f>IF(D274="","",COUNTIF($D$3:$D$300,D274))</f>
        <v/>
      </c>
    </row>
    <row r="275">
      <c r="A275" s="12" t="n"/>
      <c r="B275" s="10" t="n"/>
      <c r="C275" s="10" t="n"/>
      <c r="D275" s="10" t="n"/>
      <c r="E275" s="10" t="n"/>
      <c r="F275" s="11">
        <f>IF(D275="","",COUNTIF($D$3:$D$300,D275))</f>
        <v/>
      </c>
    </row>
    <row r="276">
      <c r="A276" s="12" t="n"/>
      <c r="B276" s="10" t="n"/>
      <c r="C276" s="10" t="n"/>
      <c r="D276" s="10" t="n"/>
      <c r="E276" s="10" t="n"/>
      <c r="F276" s="11">
        <f>IF(D276="","",COUNTIF($D$3:$D$300,D276))</f>
        <v/>
      </c>
    </row>
    <row r="277">
      <c r="A277" s="12" t="n"/>
      <c r="B277" s="10" t="n"/>
      <c r="C277" s="10" t="n"/>
      <c r="D277" s="10" t="n"/>
      <c r="E277" s="10" t="n"/>
      <c r="F277" s="11">
        <f>IF(D277="","",COUNTIF($D$3:$D$300,D277))</f>
        <v/>
      </c>
    </row>
    <row r="278">
      <c r="A278" s="12" t="n"/>
      <c r="B278" s="10" t="n"/>
      <c r="C278" s="10" t="n"/>
      <c r="D278" s="10" t="n"/>
      <c r="E278" s="10" t="n"/>
      <c r="F278" s="11">
        <f>IF(D278="","",COUNTIF($D$3:$D$300,D278))</f>
        <v/>
      </c>
    </row>
    <row r="279">
      <c r="A279" s="12" t="n"/>
      <c r="B279" s="10" t="n"/>
      <c r="C279" s="10" t="n"/>
      <c r="D279" s="10" t="n"/>
      <c r="E279" s="10" t="n"/>
      <c r="F279" s="11">
        <f>IF(D279="","",COUNTIF($D$3:$D$300,D279))</f>
        <v/>
      </c>
    </row>
    <row r="280">
      <c r="A280" s="12" t="n"/>
      <c r="B280" s="10" t="n"/>
      <c r="C280" s="10" t="n"/>
      <c r="D280" s="10" t="n"/>
      <c r="E280" s="10" t="n"/>
      <c r="F280" s="11">
        <f>IF(D280="","",COUNTIF($D$3:$D$300,D280))</f>
        <v/>
      </c>
    </row>
    <row r="281">
      <c r="A281" s="12" t="n"/>
      <c r="B281" s="10" t="n"/>
      <c r="C281" s="10" t="n"/>
      <c r="D281" s="10" t="n"/>
      <c r="E281" s="10" t="n"/>
      <c r="F281" s="11">
        <f>IF(D281="","",COUNTIF($D$3:$D$300,D281))</f>
        <v/>
      </c>
    </row>
    <row r="282">
      <c r="A282" s="12" t="n"/>
      <c r="B282" s="10" t="n"/>
      <c r="C282" s="10" t="n"/>
      <c r="D282" s="10" t="n"/>
      <c r="E282" s="10" t="n"/>
      <c r="F282" s="11">
        <f>IF(D282="","",COUNTIF($D$3:$D$300,D282))</f>
        <v/>
      </c>
    </row>
    <row r="283">
      <c r="A283" s="12" t="n"/>
      <c r="B283" s="10" t="n"/>
      <c r="C283" s="10" t="n"/>
      <c r="D283" s="10" t="n"/>
      <c r="E283" s="10" t="n"/>
      <c r="F283" s="11">
        <f>IF(D283="","",COUNTIF($D$3:$D$300,D283))</f>
        <v/>
      </c>
    </row>
    <row r="284">
      <c r="A284" s="12" t="n"/>
      <c r="B284" s="10" t="n"/>
      <c r="C284" s="10" t="n"/>
      <c r="D284" s="10" t="n"/>
      <c r="E284" s="10" t="n"/>
      <c r="F284" s="11">
        <f>IF(D284="","",COUNTIF($D$3:$D$300,D284))</f>
        <v/>
      </c>
    </row>
    <row r="285">
      <c r="A285" s="12" t="n"/>
      <c r="B285" s="10" t="n"/>
      <c r="C285" s="10" t="n"/>
      <c r="D285" s="10" t="n"/>
      <c r="E285" s="10" t="n"/>
      <c r="F285" s="11">
        <f>IF(D285="","",COUNTIF($D$3:$D$300,D285))</f>
        <v/>
      </c>
    </row>
    <row r="286">
      <c r="A286" s="12" t="n"/>
      <c r="B286" s="10" t="n"/>
      <c r="C286" s="10" t="n"/>
      <c r="D286" s="10" t="n"/>
      <c r="E286" s="10" t="n"/>
      <c r="F286" s="11">
        <f>IF(D286="","",COUNTIF($D$3:$D$300,D286))</f>
        <v/>
      </c>
    </row>
    <row r="287">
      <c r="A287" s="12" t="n"/>
      <c r="B287" s="10" t="n"/>
      <c r="C287" s="10" t="n"/>
      <c r="D287" s="10" t="n"/>
      <c r="E287" s="10" t="n"/>
      <c r="F287" s="11">
        <f>IF(D287="","",COUNTIF($D$3:$D$300,D287))</f>
        <v/>
      </c>
    </row>
    <row r="288">
      <c r="A288" s="12" t="n"/>
      <c r="B288" s="10" t="n"/>
      <c r="C288" s="10" t="n"/>
      <c r="D288" s="10" t="n"/>
      <c r="E288" s="10" t="n"/>
      <c r="F288" s="11">
        <f>IF(D288="","",COUNTIF($D$3:$D$300,D288))</f>
        <v/>
      </c>
    </row>
    <row r="289">
      <c r="A289" s="12" t="n"/>
      <c r="B289" s="10" t="n"/>
      <c r="C289" s="10" t="n"/>
      <c r="D289" s="10" t="n"/>
      <c r="E289" s="10" t="n"/>
      <c r="F289" s="11">
        <f>IF(D289="","",COUNTIF($D$3:$D$300,D289))</f>
        <v/>
      </c>
    </row>
    <row r="290">
      <c r="A290" s="12" t="n"/>
      <c r="B290" s="10" t="n"/>
      <c r="C290" s="10" t="n"/>
      <c r="D290" s="10" t="n"/>
      <c r="E290" s="10" t="n"/>
      <c r="F290" s="11">
        <f>IF(D290="","",COUNTIF($D$3:$D$300,D290))</f>
        <v/>
      </c>
    </row>
    <row r="291">
      <c r="A291" s="12" t="n"/>
      <c r="B291" s="10" t="n"/>
      <c r="C291" s="10" t="n"/>
      <c r="D291" s="10" t="n"/>
      <c r="E291" s="10" t="n"/>
      <c r="F291" s="11">
        <f>IF(D291="","",COUNTIF($D$3:$D$300,D291))</f>
        <v/>
      </c>
    </row>
    <row r="292">
      <c r="A292" s="12" t="n"/>
      <c r="B292" s="10" t="n"/>
      <c r="C292" s="10" t="n"/>
      <c r="D292" s="10" t="n"/>
      <c r="E292" s="10" t="n"/>
      <c r="F292" s="11">
        <f>IF(D292="","",COUNTIF($D$3:$D$300,D292))</f>
        <v/>
      </c>
    </row>
    <row r="293">
      <c r="A293" s="12" t="n"/>
      <c r="B293" s="10" t="n"/>
      <c r="C293" s="10" t="n"/>
      <c r="D293" s="10" t="n"/>
      <c r="E293" s="10" t="n"/>
      <c r="F293" s="11">
        <f>IF(D293="","",COUNTIF($D$3:$D$300,D293))</f>
        <v/>
      </c>
    </row>
    <row r="294">
      <c r="A294" s="12" t="n"/>
      <c r="B294" s="10" t="n"/>
      <c r="C294" s="10" t="n"/>
      <c r="D294" s="10" t="n"/>
      <c r="E294" s="10" t="n"/>
      <c r="F294" s="11">
        <f>IF(D294="","",COUNTIF($D$3:$D$300,D294))</f>
        <v/>
      </c>
    </row>
    <row r="295">
      <c r="A295" s="12" t="n"/>
      <c r="B295" s="10" t="n"/>
      <c r="C295" s="10" t="n"/>
      <c r="D295" s="10" t="n"/>
      <c r="E295" s="10" t="n"/>
      <c r="F295" s="11">
        <f>IF(D295="","",COUNTIF($D$3:$D$300,D295))</f>
        <v/>
      </c>
    </row>
    <row r="296">
      <c r="A296" s="12" t="n"/>
      <c r="B296" s="10" t="n"/>
      <c r="C296" s="10" t="n"/>
      <c r="D296" s="10" t="n"/>
      <c r="E296" s="10" t="n"/>
      <c r="F296" s="11">
        <f>IF(D296="","",COUNTIF($D$3:$D$300,D296))</f>
        <v/>
      </c>
    </row>
    <row r="297">
      <c r="A297" s="12" t="n"/>
      <c r="B297" s="10" t="n"/>
      <c r="C297" s="10" t="n"/>
      <c r="D297" s="10" t="n"/>
      <c r="E297" s="10" t="n"/>
      <c r="F297" s="11">
        <f>IF(D297="","",COUNTIF($D$3:$D$300,D297))</f>
        <v/>
      </c>
    </row>
    <row r="298">
      <c r="A298" s="12" t="n"/>
      <c r="B298" s="10" t="n"/>
      <c r="C298" s="10" t="n"/>
      <c r="D298" s="10" t="n"/>
      <c r="E298" s="10" t="n"/>
      <c r="F298" s="11">
        <f>IF(D298="","",COUNTIF($D$3:$D$300,D298))</f>
        <v/>
      </c>
    </row>
    <row r="299">
      <c r="A299" s="12" t="n"/>
      <c r="B299" s="10" t="n"/>
      <c r="C299" s="10" t="n"/>
      <c r="D299" s="10" t="n"/>
      <c r="E299" s="10" t="n"/>
      <c r="F299" s="11">
        <f>IF(D299="","",COUNTIF($D$3:$D$300,D299))</f>
        <v/>
      </c>
    </row>
    <row r="300">
      <c r="A300" s="12" t="n"/>
      <c r="B300" s="10" t="n"/>
      <c r="C300" s="10" t="n"/>
      <c r="D300" s="10" t="n"/>
      <c r="E300" s="10" t="n"/>
      <c r="F300" s="11">
        <f>IF(D300="","",COUNTIF($D$3:$D$300,D300))</f>
        <v/>
      </c>
    </row>
  </sheetData>
  <mergeCells count="1">
    <mergeCell ref="A1:F1"/>
  </mergeCells>
  <dataValidations count="1">
    <dataValidation sqref="C3:C300" showDropDown="0" showInputMessage="0" showErrorMessage="0" allowBlank="1" type="list">
      <formula1>"Authorize.net,E-commerce,B2B,Retail,Restaurant/Bar/Lounge,Vendor,Unknown"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22" customWidth="1" min="4" max="4"/>
    <col width="24" customWidth="1" min="5" max="5"/>
    <col width="15" customWidth="1" min="6" max="6"/>
    <col width="22" customWidth="1" min="7" max="7"/>
    <col width="16" customWidth="1" min="8" max="8"/>
    <col width="20" customWidth="1" min="9" max="9"/>
    <col width="13" customWidth="1" min="10" max="10"/>
    <col width="28" customWidth="1" min="11" max="11"/>
    <col width="13" customWidth="1" min="12" max="12"/>
    <col width="15" customWidth="1" min="13" max="13"/>
    <col width="28" customWidth="1" min="14" max="14"/>
  </cols>
  <sheetData>
    <row r="1" ht="28" customHeight="1">
      <c r="A1" s="5" t="inlineStr">
        <is>
          <t>People who already walk into the businesses you cannot reach. One liquor rep touches 15 accounts a week. Give before you ask - column K is the discipline, not a nicety. Priority fills itself from Type.</t>
        </is>
      </c>
    </row>
    <row r="2" ht="30" customHeight="1">
      <c r="A2" s="6" t="inlineStr">
        <is>
          <t>Partner name</t>
        </is>
      </c>
      <c r="B2" s="6" t="inlineStr">
        <is>
          <t>Type</t>
        </is>
      </c>
      <c r="C2" s="6" t="inlineStr">
        <is>
          <t>Priority</t>
        </is>
      </c>
      <c r="D2" s="6" t="inlineStr">
        <is>
          <t>Company</t>
        </is>
      </c>
      <c r="E2" s="6" t="inlineStr">
        <is>
          <t>How I know them</t>
        </is>
      </c>
      <c r="F2" s="6" t="inlineStr">
        <is>
          <t>Phone</t>
        </is>
      </c>
      <c r="G2" s="6" t="inlineStr">
        <is>
          <t>Email</t>
        </is>
      </c>
      <c r="H2" s="6" t="inlineStr">
        <is>
          <t>Accounts they touch</t>
        </is>
      </c>
      <c r="I2" s="6" t="inlineStr">
        <is>
          <t>Status</t>
        </is>
      </c>
      <c r="J2" s="6" t="inlineStr">
        <is>
          <t>Last contact</t>
        </is>
      </c>
      <c r="K2" s="6" t="inlineStr">
        <is>
          <t>Last thing I gave them</t>
        </is>
      </c>
      <c r="L2" s="6" t="inlineStr">
        <is>
          <t>Date I gave it</t>
        </is>
      </c>
      <c r="M2" s="6" t="inlineStr">
        <is>
          <t>Referrals received</t>
        </is>
      </c>
      <c r="N2" s="6" t="inlineStr">
        <is>
          <t>Notes</t>
        </is>
      </c>
    </row>
    <row r="3">
      <c r="A3" s="7" t="inlineStr">
        <is>
          <t>Dani Restrepo</t>
        </is>
      </c>
      <c r="B3" s="7" t="inlineStr">
        <is>
          <t>Liquor / food rep</t>
        </is>
      </c>
      <c r="C3" s="8">
        <f>IF(B3="","",IF(B3="Business broker","1 - Highest",IF(OR(B3="POS installer",B3="Bookkeeper / CPA"),"2 - High",IF(OR(B3="Liquor / food rep",B3="Consultant"),"3 - Strong",IF(B3="Other","5 - Other","4 - Good")))))</f>
        <v/>
      </c>
      <c r="D3" s="7" t="inlineStr">
        <is>
          <t>Breakthru Beverage</t>
        </is>
      </c>
      <c r="E3" s="7" t="inlineStr">
        <is>
          <t>Comped her table at LIV for years</t>
        </is>
      </c>
      <c r="F3" s="7" t="inlineStr">
        <is>
          <t>305-555-0178</t>
        </is>
      </c>
      <c r="G3" s="7" t="inlineStr">
        <is>
          <t>dani@example.com</t>
        </is>
      </c>
      <c r="H3" s="7" t="inlineStr">
        <is>
          <t>15/wk</t>
        </is>
      </c>
      <c r="I3" s="7" t="inlineStr">
        <is>
          <t>Agreed to refer</t>
        </is>
      </c>
      <c r="J3" s="9" t="inlineStr"/>
      <c r="K3" s="7" t="inlineStr">
        <is>
          <t>Sent her Marco's number for a tasting</t>
        </is>
      </c>
      <c r="L3" s="9" t="inlineStr"/>
      <c r="M3" s="8">
        <f>IF(A3="","",COUNTIF('Referral Log'!$C$4:$C$400,A3))</f>
        <v/>
      </c>
      <c r="N3" s="7" t="inlineStr">
        <is>
          <t>Asked her to flag any spot changing hands</t>
        </is>
      </c>
    </row>
    <row r="4">
      <c r="A4" s="10" t="n"/>
      <c r="B4" s="10" t="n"/>
      <c r="C4" s="11">
        <f>IF(B4="","",IF(B4="Business broker","1 - Highest",IF(OR(B4="POS installer",B4="Bookkeeper / CPA"),"2 - High",IF(OR(B4="Liquor / food rep",B4="Consultant"),"3 - Strong",IF(B4="Other","5 - Other","4 - Good")))))</f>
        <v/>
      </c>
      <c r="D4" s="10" t="n"/>
      <c r="E4" s="10" t="n"/>
      <c r="F4" s="10" t="n"/>
      <c r="G4" s="10" t="n"/>
      <c r="H4" s="10" t="n"/>
      <c r="I4" s="10" t="n"/>
      <c r="J4" s="12" t="n"/>
      <c r="K4" s="10" t="n"/>
      <c r="L4" s="12" t="n"/>
      <c r="M4" s="11">
        <f>IF(A4="","",COUNTIF('Referral Log'!$C$4:$C$400,A4))</f>
        <v/>
      </c>
      <c r="N4" s="10" t="n"/>
    </row>
    <row r="5">
      <c r="A5" s="10" t="n"/>
      <c r="B5" s="10" t="n"/>
      <c r="C5" s="11">
        <f>IF(B5="","",IF(B5="Business broker","1 - Highest",IF(OR(B5="POS installer",B5="Bookkeeper / CPA"),"2 - High",IF(OR(B5="Liquor / food rep",B5="Consultant"),"3 - Strong",IF(B5="Other","5 - Other","4 - Good")))))</f>
        <v/>
      </c>
      <c r="D5" s="10" t="n"/>
      <c r="E5" s="10" t="n"/>
      <c r="F5" s="10" t="n"/>
      <c r="G5" s="10" t="n"/>
      <c r="H5" s="10" t="n"/>
      <c r="I5" s="10" t="n"/>
      <c r="J5" s="12" t="n"/>
      <c r="K5" s="10" t="n"/>
      <c r="L5" s="12" t="n"/>
      <c r="M5" s="11">
        <f>IF(A5="","",COUNTIF('Referral Log'!$C$4:$C$400,A5))</f>
        <v/>
      </c>
      <c r="N5" s="10" t="n"/>
    </row>
    <row r="6">
      <c r="A6" s="10" t="n"/>
      <c r="B6" s="10" t="n"/>
      <c r="C6" s="11">
        <f>IF(B6="","",IF(B6="Business broker","1 - Highest",IF(OR(B6="POS installer",B6="Bookkeeper / CPA"),"2 - High",IF(OR(B6="Liquor / food rep",B6="Consultant"),"3 - Strong",IF(B6="Other","5 - Other","4 - Good")))))</f>
        <v/>
      </c>
      <c r="D6" s="10" t="n"/>
      <c r="E6" s="10" t="n"/>
      <c r="F6" s="10" t="n"/>
      <c r="G6" s="10" t="n"/>
      <c r="H6" s="10" t="n"/>
      <c r="I6" s="10" t="n"/>
      <c r="J6" s="12" t="n"/>
      <c r="K6" s="10" t="n"/>
      <c r="L6" s="12" t="n"/>
      <c r="M6" s="11">
        <f>IF(A6="","",COUNTIF('Referral Log'!$C$4:$C$400,A6))</f>
        <v/>
      </c>
      <c r="N6" s="10" t="n"/>
    </row>
    <row r="7">
      <c r="A7" s="10" t="n"/>
      <c r="B7" s="10" t="n"/>
      <c r="C7" s="11">
        <f>IF(B7="","",IF(B7="Business broker","1 - Highest",IF(OR(B7="POS installer",B7="Bookkeeper / CPA"),"2 - High",IF(OR(B7="Liquor / food rep",B7="Consultant"),"3 - Strong",IF(B7="Other","5 - Other","4 - Good")))))</f>
        <v/>
      </c>
      <c r="D7" s="10" t="n"/>
      <c r="E7" s="10" t="n"/>
      <c r="F7" s="10" t="n"/>
      <c r="G7" s="10" t="n"/>
      <c r="H7" s="10" t="n"/>
      <c r="I7" s="10" t="n"/>
      <c r="J7" s="12" t="n"/>
      <c r="K7" s="10" t="n"/>
      <c r="L7" s="12" t="n"/>
      <c r="M7" s="11">
        <f>IF(A7="","",COUNTIF('Referral Log'!$C$4:$C$400,A7))</f>
        <v/>
      </c>
      <c r="N7" s="10" t="n"/>
    </row>
    <row r="8">
      <c r="A8" s="10" t="n"/>
      <c r="B8" s="10" t="n"/>
      <c r="C8" s="11">
        <f>IF(B8="","",IF(B8="Business broker","1 - Highest",IF(OR(B8="POS installer",B8="Bookkeeper / CPA"),"2 - High",IF(OR(B8="Liquor / food rep",B8="Consultant"),"3 - Strong",IF(B8="Other","5 - Other","4 - Good")))))</f>
        <v/>
      </c>
      <c r="D8" s="10" t="n"/>
      <c r="E8" s="10" t="n"/>
      <c r="F8" s="10" t="n"/>
      <c r="G8" s="10" t="n"/>
      <c r="H8" s="10" t="n"/>
      <c r="I8" s="10" t="n"/>
      <c r="J8" s="12" t="n"/>
      <c r="K8" s="10" t="n"/>
      <c r="L8" s="12" t="n"/>
      <c r="M8" s="11">
        <f>IF(A8="","",COUNTIF('Referral Log'!$C$4:$C$400,A8))</f>
        <v/>
      </c>
      <c r="N8" s="10" t="n"/>
    </row>
    <row r="9">
      <c r="A9" s="10" t="n"/>
      <c r="B9" s="10" t="n"/>
      <c r="C9" s="11">
        <f>IF(B9="","",IF(B9="Business broker","1 - Highest",IF(OR(B9="POS installer",B9="Bookkeeper / CPA"),"2 - High",IF(OR(B9="Liquor / food rep",B9="Consultant"),"3 - Strong",IF(B9="Other","5 - Other","4 - Good")))))</f>
        <v/>
      </c>
      <c r="D9" s="10" t="n"/>
      <c r="E9" s="10" t="n"/>
      <c r="F9" s="10" t="n"/>
      <c r="G9" s="10" t="n"/>
      <c r="H9" s="10" t="n"/>
      <c r="I9" s="10" t="n"/>
      <c r="J9" s="12" t="n"/>
      <c r="K9" s="10" t="n"/>
      <c r="L9" s="12" t="n"/>
      <c r="M9" s="11">
        <f>IF(A9="","",COUNTIF('Referral Log'!$C$4:$C$400,A9))</f>
        <v/>
      </c>
      <c r="N9" s="10" t="n"/>
    </row>
    <row r="10">
      <c r="A10" s="10" t="n"/>
      <c r="B10" s="10" t="n"/>
      <c r="C10" s="11">
        <f>IF(B10="","",IF(B10="Business broker","1 - Highest",IF(OR(B10="POS installer",B10="Bookkeeper / CPA"),"2 - High",IF(OR(B10="Liquor / food rep",B10="Consultant"),"3 - Strong",IF(B10="Other","5 - Other","4 - Good")))))</f>
        <v/>
      </c>
      <c r="D10" s="10" t="n"/>
      <c r="E10" s="10" t="n"/>
      <c r="F10" s="10" t="n"/>
      <c r="G10" s="10" t="n"/>
      <c r="H10" s="10" t="n"/>
      <c r="I10" s="10" t="n"/>
      <c r="J10" s="12" t="n"/>
      <c r="K10" s="10" t="n"/>
      <c r="L10" s="12" t="n"/>
      <c r="M10" s="11">
        <f>IF(A10="","",COUNTIF('Referral Log'!$C$4:$C$400,A10))</f>
        <v/>
      </c>
      <c r="N10" s="10" t="n"/>
    </row>
    <row r="11">
      <c r="A11" s="10" t="n"/>
      <c r="B11" s="10" t="n"/>
      <c r="C11" s="11">
        <f>IF(B11="","",IF(B11="Business broker","1 - Highest",IF(OR(B11="POS installer",B11="Bookkeeper / CPA"),"2 - High",IF(OR(B11="Liquor / food rep",B11="Consultant"),"3 - Strong",IF(B11="Other","5 - Other","4 - Good")))))</f>
        <v/>
      </c>
      <c r="D11" s="10" t="n"/>
      <c r="E11" s="10" t="n"/>
      <c r="F11" s="10" t="n"/>
      <c r="G11" s="10" t="n"/>
      <c r="H11" s="10" t="n"/>
      <c r="I11" s="10" t="n"/>
      <c r="J11" s="12" t="n"/>
      <c r="K11" s="10" t="n"/>
      <c r="L11" s="12" t="n"/>
      <c r="M11" s="11">
        <f>IF(A11="","",COUNTIF('Referral Log'!$C$4:$C$400,A11))</f>
        <v/>
      </c>
      <c r="N11" s="10" t="n"/>
    </row>
    <row r="12">
      <c r="A12" s="10" t="n"/>
      <c r="B12" s="10" t="n"/>
      <c r="C12" s="11">
        <f>IF(B12="","",IF(B12="Business broker","1 - Highest",IF(OR(B12="POS installer",B12="Bookkeeper / CPA"),"2 - High",IF(OR(B12="Liquor / food rep",B12="Consultant"),"3 - Strong",IF(B12="Other","5 - Other","4 - Good")))))</f>
        <v/>
      </c>
      <c r="D12" s="10" t="n"/>
      <c r="E12" s="10" t="n"/>
      <c r="F12" s="10" t="n"/>
      <c r="G12" s="10" t="n"/>
      <c r="H12" s="10" t="n"/>
      <c r="I12" s="10" t="n"/>
      <c r="J12" s="12" t="n"/>
      <c r="K12" s="10" t="n"/>
      <c r="L12" s="12" t="n"/>
      <c r="M12" s="11">
        <f>IF(A12="","",COUNTIF('Referral Log'!$C$4:$C$400,A12))</f>
        <v/>
      </c>
      <c r="N12" s="10" t="n"/>
    </row>
    <row r="13">
      <c r="A13" s="10" t="n"/>
      <c r="B13" s="10" t="n"/>
      <c r="C13" s="11">
        <f>IF(B13="","",IF(B13="Business broker","1 - Highest",IF(OR(B13="POS installer",B13="Bookkeeper / CPA"),"2 - High",IF(OR(B13="Liquor / food rep",B13="Consultant"),"3 - Strong",IF(B13="Other","5 - Other","4 - Good")))))</f>
        <v/>
      </c>
      <c r="D13" s="10" t="n"/>
      <c r="E13" s="10" t="n"/>
      <c r="F13" s="10" t="n"/>
      <c r="G13" s="10" t="n"/>
      <c r="H13" s="10" t="n"/>
      <c r="I13" s="10" t="n"/>
      <c r="J13" s="12" t="n"/>
      <c r="K13" s="10" t="n"/>
      <c r="L13" s="12" t="n"/>
      <c r="M13" s="11">
        <f>IF(A13="","",COUNTIF('Referral Log'!$C$4:$C$400,A13))</f>
        <v/>
      </c>
      <c r="N13" s="10" t="n"/>
    </row>
    <row r="14">
      <c r="A14" s="10" t="n"/>
      <c r="B14" s="10" t="n"/>
      <c r="C14" s="11">
        <f>IF(B14="","",IF(B14="Business broker","1 - Highest",IF(OR(B14="POS installer",B14="Bookkeeper / CPA"),"2 - High",IF(OR(B14="Liquor / food rep",B14="Consultant"),"3 - Strong",IF(B14="Other","5 - Other","4 - Good")))))</f>
        <v/>
      </c>
      <c r="D14" s="10" t="n"/>
      <c r="E14" s="10" t="n"/>
      <c r="F14" s="10" t="n"/>
      <c r="G14" s="10" t="n"/>
      <c r="H14" s="10" t="n"/>
      <c r="I14" s="10" t="n"/>
      <c r="J14" s="12" t="n"/>
      <c r="K14" s="10" t="n"/>
      <c r="L14" s="12" t="n"/>
      <c r="M14" s="11">
        <f>IF(A14="","",COUNTIF('Referral Log'!$C$4:$C$400,A14))</f>
        <v/>
      </c>
      <c r="N14" s="10" t="n"/>
    </row>
    <row r="15">
      <c r="A15" s="10" t="n"/>
      <c r="B15" s="10" t="n"/>
      <c r="C15" s="11">
        <f>IF(B15="","",IF(B15="Business broker","1 - Highest",IF(OR(B15="POS installer",B15="Bookkeeper / CPA"),"2 - High",IF(OR(B15="Liquor / food rep",B15="Consultant"),"3 - Strong",IF(B15="Other","5 - Other","4 - Good")))))</f>
        <v/>
      </c>
      <c r="D15" s="10" t="n"/>
      <c r="E15" s="10" t="n"/>
      <c r="F15" s="10" t="n"/>
      <c r="G15" s="10" t="n"/>
      <c r="H15" s="10" t="n"/>
      <c r="I15" s="10" t="n"/>
      <c r="J15" s="12" t="n"/>
      <c r="K15" s="10" t="n"/>
      <c r="L15" s="12" t="n"/>
      <c r="M15" s="11">
        <f>IF(A15="","",COUNTIF('Referral Log'!$C$4:$C$400,A15))</f>
        <v/>
      </c>
      <c r="N15" s="10" t="n"/>
    </row>
    <row r="16">
      <c r="A16" s="10" t="n"/>
      <c r="B16" s="10" t="n"/>
      <c r="C16" s="11">
        <f>IF(B16="","",IF(B16="Business broker","1 - Highest",IF(OR(B16="POS installer",B16="Bookkeeper / CPA"),"2 - High",IF(OR(B16="Liquor / food rep",B16="Consultant"),"3 - Strong",IF(B16="Other","5 - Other","4 - Good")))))</f>
        <v/>
      </c>
      <c r="D16" s="10" t="n"/>
      <c r="E16" s="10" t="n"/>
      <c r="F16" s="10" t="n"/>
      <c r="G16" s="10" t="n"/>
      <c r="H16" s="10" t="n"/>
      <c r="I16" s="10" t="n"/>
      <c r="J16" s="12" t="n"/>
      <c r="K16" s="10" t="n"/>
      <c r="L16" s="12" t="n"/>
      <c r="M16" s="11">
        <f>IF(A16="","",COUNTIF('Referral Log'!$C$4:$C$400,A16))</f>
        <v/>
      </c>
      <c r="N16" s="10" t="n"/>
    </row>
    <row r="17">
      <c r="A17" s="10" t="n"/>
      <c r="B17" s="10" t="n"/>
      <c r="C17" s="11">
        <f>IF(B17="","",IF(B17="Business broker","1 - Highest",IF(OR(B17="POS installer",B17="Bookkeeper / CPA"),"2 - High",IF(OR(B17="Liquor / food rep",B17="Consultant"),"3 - Strong",IF(B17="Other","5 - Other","4 - Good")))))</f>
        <v/>
      </c>
      <c r="D17" s="10" t="n"/>
      <c r="E17" s="10" t="n"/>
      <c r="F17" s="10" t="n"/>
      <c r="G17" s="10" t="n"/>
      <c r="H17" s="10" t="n"/>
      <c r="I17" s="10" t="n"/>
      <c r="J17" s="12" t="n"/>
      <c r="K17" s="10" t="n"/>
      <c r="L17" s="12" t="n"/>
      <c r="M17" s="11">
        <f>IF(A17="","",COUNTIF('Referral Log'!$C$4:$C$400,A17))</f>
        <v/>
      </c>
      <c r="N17" s="10" t="n"/>
    </row>
    <row r="18">
      <c r="A18" s="10" t="n"/>
      <c r="B18" s="10" t="n"/>
      <c r="C18" s="11">
        <f>IF(B18="","",IF(B18="Business broker","1 - Highest",IF(OR(B18="POS installer",B18="Bookkeeper / CPA"),"2 - High",IF(OR(B18="Liquor / food rep",B18="Consultant"),"3 - Strong",IF(B18="Other","5 - Other","4 - Good")))))</f>
        <v/>
      </c>
      <c r="D18" s="10" t="n"/>
      <c r="E18" s="10" t="n"/>
      <c r="F18" s="10" t="n"/>
      <c r="G18" s="10" t="n"/>
      <c r="H18" s="10" t="n"/>
      <c r="I18" s="10" t="n"/>
      <c r="J18" s="12" t="n"/>
      <c r="K18" s="10" t="n"/>
      <c r="L18" s="12" t="n"/>
      <c r="M18" s="11">
        <f>IF(A18="","",COUNTIF('Referral Log'!$C$4:$C$400,A18))</f>
        <v/>
      </c>
      <c r="N18" s="10" t="n"/>
    </row>
    <row r="19">
      <c r="A19" s="10" t="n"/>
      <c r="B19" s="10" t="n"/>
      <c r="C19" s="11">
        <f>IF(B19="","",IF(B19="Business broker","1 - Highest",IF(OR(B19="POS installer",B19="Bookkeeper / CPA"),"2 - High",IF(OR(B19="Liquor / food rep",B19="Consultant"),"3 - Strong",IF(B19="Other","5 - Other","4 - Good")))))</f>
        <v/>
      </c>
      <c r="D19" s="10" t="n"/>
      <c r="E19" s="10" t="n"/>
      <c r="F19" s="10" t="n"/>
      <c r="G19" s="10" t="n"/>
      <c r="H19" s="10" t="n"/>
      <c r="I19" s="10" t="n"/>
      <c r="J19" s="12" t="n"/>
      <c r="K19" s="10" t="n"/>
      <c r="L19" s="12" t="n"/>
      <c r="M19" s="11">
        <f>IF(A19="","",COUNTIF('Referral Log'!$C$4:$C$400,A19))</f>
        <v/>
      </c>
      <c r="N19" s="10" t="n"/>
    </row>
    <row r="20">
      <c r="A20" s="10" t="n"/>
      <c r="B20" s="10" t="n"/>
      <c r="C20" s="11">
        <f>IF(B20="","",IF(B20="Business broker","1 - Highest",IF(OR(B20="POS installer",B20="Bookkeeper / CPA"),"2 - High",IF(OR(B20="Liquor / food rep",B20="Consultant"),"3 - Strong",IF(B20="Other","5 - Other","4 - Good")))))</f>
        <v/>
      </c>
      <c r="D20" s="10" t="n"/>
      <c r="E20" s="10" t="n"/>
      <c r="F20" s="10" t="n"/>
      <c r="G20" s="10" t="n"/>
      <c r="H20" s="10" t="n"/>
      <c r="I20" s="10" t="n"/>
      <c r="J20" s="12" t="n"/>
      <c r="K20" s="10" t="n"/>
      <c r="L20" s="12" t="n"/>
      <c r="M20" s="11">
        <f>IF(A20="","",COUNTIF('Referral Log'!$C$4:$C$400,A20))</f>
        <v/>
      </c>
      <c r="N20" s="10" t="n"/>
    </row>
    <row r="21">
      <c r="A21" s="10" t="n"/>
      <c r="B21" s="10" t="n"/>
      <c r="C21" s="11">
        <f>IF(B21="","",IF(B21="Business broker","1 - Highest",IF(OR(B21="POS installer",B21="Bookkeeper / CPA"),"2 - High",IF(OR(B21="Liquor / food rep",B21="Consultant"),"3 - Strong",IF(B21="Other","5 - Other","4 - Good")))))</f>
        <v/>
      </c>
      <c r="D21" s="10" t="n"/>
      <c r="E21" s="10" t="n"/>
      <c r="F21" s="10" t="n"/>
      <c r="G21" s="10" t="n"/>
      <c r="H21" s="10" t="n"/>
      <c r="I21" s="10" t="n"/>
      <c r="J21" s="12" t="n"/>
      <c r="K21" s="10" t="n"/>
      <c r="L21" s="12" t="n"/>
      <c r="M21" s="11">
        <f>IF(A21="","",COUNTIF('Referral Log'!$C$4:$C$400,A21))</f>
        <v/>
      </c>
      <c r="N21" s="10" t="n"/>
    </row>
    <row r="22">
      <c r="A22" s="10" t="n"/>
      <c r="B22" s="10" t="n"/>
      <c r="C22" s="11">
        <f>IF(B22="","",IF(B22="Business broker","1 - Highest",IF(OR(B22="POS installer",B22="Bookkeeper / CPA"),"2 - High",IF(OR(B22="Liquor / food rep",B22="Consultant"),"3 - Strong",IF(B22="Other","5 - Other","4 - Good")))))</f>
        <v/>
      </c>
      <c r="D22" s="10" t="n"/>
      <c r="E22" s="10" t="n"/>
      <c r="F22" s="10" t="n"/>
      <c r="G22" s="10" t="n"/>
      <c r="H22" s="10" t="n"/>
      <c r="I22" s="10" t="n"/>
      <c r="J22" s="12" t="n"/>
      <c r="K22" s="10" t="n"/>
      <c r="L22" s="12" t="n"/>
      <c r="M22" s="11">
        <f>IF(A22="","",COUNTIF('Referral Log'!$C$4:$C$400,A22))</f>
        <v/>
      </c>
      <c r="N22" s="10" t="n"/>
    </row>
    <row r="23">
      <c r="A23" s="10" t="n"/>
      <c r="B23" s="10" t="n"/>
      <c r="C23" s="11">
        <f>IF(B23="","",IF(B23="Business broker","1 - Highest",IF(OR(B23="POS installer",B23="Bookkeeper / CPA"),"2 - High",IF(OR(B23="Liquor / food rep",B23="Consultant"),"3 - Strong",IF(B23="Other","5 - Other","4 - Good")))))</f>
        <v/>
      </c>
      <c r="D23" s="10" t="n"/>
      <c r="E23" s="10" t="n"/>
      <c r="F23" s="10" t="n"/>
      <c r="G23" s="10" t="n"/>
      <c r="H23" s="10" t="n"/>
      <c r="I23" s="10" t="n"/>
      <c r="J23" s="12" t="n"/>
      <c r="K23" s="10" t="n"/>
      <c r="L23" s="12" t="n"/>
      <c r="M23" s="11">
        <f>IF(A23="","",COUNTIF('Referral Log'!$C$4:$C$400,A23))</f>
        <v/>
      </c>
      <c r="N23" s="10" t="n"/>
    </row>
    <row r="24">
      <c r="A24" s="10" t="n"/>
      <c r="B24" s="10" t="n"/>
      <c r="C24" s="11">
        <f>IF(B24="","",IF(B24="Business broker","1 - Highest",IF(OR(B24="POS installer",B24="Bookkeeper / CPA"),"2 - High",IF(OR(B24="Liquor / food rep",B24="Consultant"),"3 - Strong",IF(B24="Other","5 - Other","4 - Good")))))</f>
        <v/>
      </c>
      <c r="D24" s="10" t="n"/>
      <c r="E24" s="10" t="n"/>
      <c r="F24" s="10" t="n"/>
      <c r="G24" s="10" t="n"/>
      <c r="H24" s="10" t="n"/>
      <c r="I24" s="10" t="n"/>
      <c r="J24" s="12" t="n"/>
      <c r="K24" s="10" t="n"/>
      <c r="L24" s="12" t="n"/>
      <c r="M24" s="11">
        <f>IF(A24="","",COUNTIF('Referral Log'!$C$4:$C$400,A24))</f>
        <v/>
      </c>
      <c r="N24" s="10" t="n"/>
    </row>
    <row r="25">
      <c r="A25" s="10" t="n"/>
      <c r="B25" s="10" t="n"/>
      <c r="C25" s="11">
        <f>IF(B25="","",IF(B25="Business broker","1 - Highest",IF(OR(B25="POS installer",B25="Bookkeeper / CPA"),"2 - High",IF(OR(B25="Liquor / food rep",B25="Consultant"),"3 - Strong",IF(B25="Other","5 - Other","4 - Good")))))</f>
        <v/>
      </c>
      <c r="D25" s="10" t="n"/>
      <c r="E25" s="10" t="n"/>
      <c r="F25" s="10" t="n"/>
      <c r="G25" s="10" t="n"/>
      <c r="H25" s="10" t="n"/>
      <c r="I25" s="10" t="n"/>
      <c r="J25" s="12" t="n"/>
      <c r="K25" s="10" t="n"/>
      <c r="L25" s="12" t="n"/>
      <c r="M25" s="11">
        <f>IF(A25="","",COUNTIF('Referral Log'!$C$4:$C$400,A25))</f>
        <v/>
      </c>
      <c r="N25" s="10" t="n"/>
    </row>
    <row r="26">
      <c r="A26" s="10" t="n"/>
      <c r="B26" s="10" t="n"/>
      <c r="C26" s="11">
        <f>IF(B26="","",IF(B26="Business broker","1 - Highest",IF(OR(B26="POS installer",B26="Bookkeeper / CPA"),"2 - High",IF(OR(B26="Liquor / food rep",B26="Consultant"),"3 - Strong",IF(B26="Other","5 - Other","4 - Good")))))</f>
        <v/>
      </c>
      <c r="D26" s="10" t="n"/>
      <c r="E26" s="10" t="n"/>
      <c r="F26" s="10" t="n"/>
      <c r="G26" s="10" t="n"/>
      <c r="H26" s="10" t="n"/>
      <c r="I26" s="10" t="n"/>
      <c r="J26" s="12" t="n"/>
      <c r="K26" s="10" t="n"/>
      <c r="L26" s="12" t="n"/>
      <c r="M26" s="11">
        <f>IF(A26="","",COUNTIF('Referral Log'!$C$4:$C$400,A26))</f>
        <v/>
      </c>
      <c r="N26" s="10" t="n"/>
    </row>
    <row r="27">
      <c r="A27" s="10" t="n"/>
      <c r="B27" s="10" t="n"/>
      <c r="C27" s="11">
        <f>IF(B27="","",IF(B27="Business broker","1 - Highest",IF(OR(B27="POS installer",B27="Bookkeeper / CPA"),"2 - High",IF(OR(B27="Liquor / food rep",B27="Consultant"),"3 - Strong",IF(B27="Other","5 - Other","4 - Good")))))</f>
        <v/>
      </c>
      <c r="D27" s="10" t="n"/>
      <c r="E27" s="10" t="n"/>
      <c r="F27" s="10" t="n"/>
      <c r="G27" s="10" t="n"/>
      <c r="H27" s="10" t="n"/>
      <c r="I27" s="10" t="n"/>
      <c r="J27" s="12" t="n"/>
      <c r="K27" s="10" t="n"/>
      <c r="L27" s="12" t="n"/>
      <c r="M27" s="11">
        <f>IF(A27="","",COUNTIF('Referral Log'!$C$4:$C$400,A27))</f>
        <v/>
      </c>
      <c r="N27" s="10" t="n"/>
    </row>
    <row r="28">
      <c r="A28" s="10" t="n"/>
      <c r="B28" s="10" t="n"/>
      <c r="C28" s="11">
        <f>IF(B28="","",IF(B28="Business broker","1 - Highest",IF(OR(B28="POS installer",B28="Bookkeeper / CPA"),"2 - High",IF(OR(B28="Liquor / food rep",B28="Consultant"),"3 - Strong",IF(B28="Other","5 - Other","4 - Good")))))</f>
        <v/>
      </c>
      <c r="D28" s="10" t="n"/>
      <c r="E28" s="10" t="n"/>
      <c r="F28" s="10" t="n"/>
      <c r="G28" s="10" t="n"/>
      <c r="H28" s="10" t="n"/>
      <c r="I28" s="10" t="n"/>
      <c r="J28" s="12" t="n"/>
      <c r="K28" s="10" t="n"/>
      <c r="L28" s="12" t="n"/>
      <c r="M28" s="11">
        <f>IF(A28="","",COUNTIF('Referral Log'!$C$4:$C$400,A28))</f>
        <v/>
      </c>
      <c r="N28" s="10" t="n"/>
    </row>
    <row r="29">
      <c r="A29" s="10" t="n"/>
      <c r="B29" s="10" t="n"/>
      <c r="C29" s="11">
        <f>IF(B29="","",IF(B29="Business broker","1 - Highest",IF(OR(B29="POS installer",B29="Bookkeeper / CPA"),"2 - High",IF(OR(B29="Liquor / food rep",B29="Consultant"),"3 - Strong",IF(B29="Other","5 - Other","4 - Good")))))</f>
        <v/>
      </c>
      <c r="D29" s="10" t="n"/>
      <c r="E29" s="10" t="n"/>
      <c r="F29" s="10" t="n"/>
      <c r="G29" s="10" t="n"/>
      <c r="H29" s="10" t="n"/>
      <c r="I29" s="10" t="n"/>
      <c r="J29" s="12" t="n"/>
      <c r="K29" s="10" t="n"/>
      <c r="L29" s="12" t="n"/>
      <c r="M29" s="11">
        <f>IF(A29="","",COUNTIF('Referral Log'!$C$4:$C$400,A29))</f>
        <v/>
      </c>
      <c r="N29" s="10" t="n"/>
    </row>
    <row r="30">
      <c r="A30" s="10" t="n"/>
      <c r="B30" s="10" t="n"/>
      <c r="C30" s="11">
        <f>IF(B30="","",IF(B30="Business broker","1 - Highest",IF(OR(B30="POS installer",B30="Bookkeeper / CPA"),"2 - High",IF(OR(B30="Liquor / food rep",B30="Consultant"),"3 - Strong",IF(B30="Other","5 - Other","4 - Good")))))</f>
        <v/>
      </c>
      <c r="D30" s="10" t="n"/>
      <c r="E30" s="10" t="n"/>
      <c r="F30" s="10" t="n"/>
      <c r="G30" s="10" t="n"/>
      <c r="H30" s="10" t="n"/>
      <c r="I30" s="10" t="n"/>
      <c r="J30" s="12" t="n"/>
      <c r="K30" s="10" t="n"/>
      <c r="L30" s="12" t="n"/>
      <c r="M30" s="11">
        <f>IF(A30="","",COUNTIF('Referral Log'!$C$4:$C$400,A30))</f>
        <v/>
      </c>
      <c r="N30" s="10" t="n"/>
    </row>
    <row r="31">
      <c r="A31" s="10" t="n"/>
      <c r="B31" s="10" t="n"/>
      <c r="C31" s="11">
        <f>IF(B31="","",IF(B31="Business broker","1 - Highest",IF(OR(B31="POS installer",B31="Bookkeeper / CPA"),"2 - High",IF(OR(B31="Liquor / food rep",B31="Consultant"),"3 - Strong",IF(B31="Other","5 - Other","4 - Good")))))</f>
        <v/>
      </c>
      <c r="D31" s="10" t="n"/>
      <c r="E31" s="10" t="n"/>
      <c r="F31" s="10" t="n"/>
      <c r="G31" s="10" t="n"/>
      <c r="H31" s="10" t="n"/>
      <c r="I31" s="10" t="n"/>
      <c r="J31" s="12" t="n"/>
      <c r="K31" s="10" t="n"/>
      <c r="L31" s="12" t="n"/>
      <c r="M31" s="11">
        <f>IF(A31="","",COUNTIF('Referral Log'!$C$4:$C$400,A31))</f>
        <v/>
      </c>
      <c r="N31" s="10" t="n"/>
    </row>
    <row r="32">
      <c r="A32" s="10" t="n"/>
      <c r="B32" s="10" t="n"/>
      <c r="C32" s="11">
        <f>IF(B32="","",IF(B32="Business broker","1 - Highest",IF(OR(B32="POS installer",B32="Bookkeeper / CPA"),"2 - High",IF(OR(B32="Liquor / food rep",B32="Consultant"),"3 - Strong",IF(B32="Other","5 - Other","4 - Good")))))</f>
        <v/>
      </c>
      <c r="D32" s="10" t="n"/>
      <c r="E32" s="10" t="n"/>
      <c r="F32" s="10" t="n"/>
      <c r="G32" s="10" t="n"/>
      <c r="H32" s="10" t="n"/>
      <c r="I32" s="10" t="n"/>
      <c r="J32" s="12" t="n"/>
      <c r="K32" s="10" t="n"/>
      <c r="L32" s="12" t="n"/>
      <c r="M32" s="11">
        <f>IF(A32="","",COUNTIF('Referral Log'!$C$4:$C$400,A32))</f>
        <v/>
      </c>
      <c r="N32" s="10" t="n"/>
    </row>
    <row r="33">
      <c r="A33" s="10" t="n"/>
      <c r="B33" s="10" t="n"/>
      <c r="C33" s="11">
        <f>IF(B33="","",IF(B33="Business broker","1 - Highest",IF(OR(B33="POS installer",B33="Bookkeeper / CPA"),"2 - High",IF(OR(B33="Liquor / food rep",B33="Consultant"),"3 - Strong",IF(B33="Other","5 - Other","4 - Good")))))</f>
        <v/>
      </c>
      <c r="D33" s="10" t="n"/>
      <c r="E33" s="10" t="n"/>
      <c r="F33" s="10" t="n"/>
      <c r="G33" s="10" t="n"/>
      <c r="H33" s="10" t="n"/>
      <c r="I33" s="10" t="n"/>
      <c r="J33" s="12" t="n"/>
      <c r="K33" s="10" t="n"/>
      <c r="L33" s="12" t="n"/>
      <c r="M33" s="11">
        <f>IF(A33="","",COUNTIF('Referral Log'!$C$4:$C$400,A33))</f>
        <v/>
      </c>
      <c r="N33" s="10" t="n"/>
    </row>
    <row r="34">
      <c r="A34" s="10" t="n"/>
      <c r="B34" s="10" t="n"/>
      <c r="C34" s="11">
        <f>IF(B34="","",IF(B34="Business broker","1 - Highest",IF(OR(B34="POS installer",B34="Bookkeeper / CPA"),"2 - High",IF(OR(B34="Liquor / food rep",B34="Consultant"),"3 - Strong",IF(B34="Other","5 - Other","4 - Good")))))</f>
        <v/>
      </c>
      <c r="D34" s="10" t="n"/>
      <c r="E34" s="10" t="n"/>
      <c r="F34" s="10" t="n"/>
      <c r="G34" s="10" t="n"/>
      <c r="H34" s="10" t="n"/>
      <c r="I34" s="10" t="n"/>
      <c r="J34" s="12" t="n"/>
      <c r="K34" s="10" t="n"/>
      <c r="L34" s="12" t="n"/>
      <c r="M34" s="11">
        <f>IF(A34="","",COUNTIF('Referral Log'!$C$4:$C$400,A34))</f>
        <v/>
      </c>
      <c r="N34" s="10" t="n"/>
    </row>
    <row r="35">
      <c r="A35" s="10" t="n"/>
      <c r="B35" s="10" t="n"/>
      <c r="C35" s="11">
        <f>IF(B35="","",IF(B35="Business broker","1 - Highest",IF(OR(B35="POS installer",B35="Bookkeeper / CPA"),"2 - High",IF(OR(B35="Liquor / food rep",B35="Consultant"),"3 - Strong",IF(B35="Other","5 - Other","4 - Good")))))</f>
        <v/>
      </c>
      <c r="D35" s="10" t="n"/>
      <c r="E35" s="10" t="n"/>
      <c r="F35" s="10" t="n"/>
      <c r="G35" s="10" t="n"/>
      <c r="H35" s="10" t="n"/>
      <c r="I35" s="10" t="n"/>
      <c r="J35" s="12" t="n"/>
      <c r="K35" s="10" t="n"/>
      <c r="L35" s="12" t="n"/>
      <c r="M35" s="11">
        <f>IF(A35="","",COUNTIF('Referral Log'!$C$4:$C$400,A35))</f>
        <v/>
      </c>
      <c r="N35" s="10" t="n"/>
    </row>
    <row r="36">
      <c r="A36" s="10" t="n"/>
      <c r="B36" s="10" t="n"/>
      <c r="C36" s="11">
        <f>IF(B36="","",IF(B36="Business broker","1 - Highest",IF(OR(B36="POS installer",B36="Bookkeeper / CPA"),"2 - High",IF(OR(B36="Liquor / food rep",B36="Consultant"),"3 - Strong",IF(B36="Other","5 - Other","4 - Good")))))</f>
        <v/>
      </c>
      <c r="D36" s="10" t="n"/>
      <c r="E36" s="10" t="n"/>
      <c r="F36" s="10" t="n"/>
      <c r="G36" s="10" t="n"/>
      <c r="H36" s="10" t="n"/>
      <c r="I36" s="10" t="n"/>
      <c r="J36" s="12" t="n"/>
      <c r="K36" s="10" t="n"/>
      <c r="L36" s="12" t="n"/>
      <c r="M36" s="11">
        <f>IF(A36="","",COUNTIF('Referral Log'!$C$4:$C$400,A36))</f>
        <v/>
      </c>
      <c r="N36" s="10" t="n"/>
    </row>
    <row r="37">
      <c r="A37" s="10" t="n"/>
      <c r="B37" s="10" t="n"/>
      <c r="C37" s="11">
        <f>IF(B37="","",IF(B37="Business broker","1 - Highest",IF(OR(B37="POS installer",B37="Bookkeeper / CPA"),"2 - High",IF(OR(B37="Liquor / food rep",B37="Consultant"),"3 - Strong",IF(B37="Other","5 - Other","4 - Good")))))</f>
        <v/>
      </c>
      <c r="D37" s="10" t="n"/>
      <c r="E37" s="10" t="n"/>
      <c r="F37" s="10" t="n"/>
      <c r="G37" s="10" t="n"/>
      <c r="H37" s="10" t="n"/>
      <c r="I37" s="10" t="n"/>
      <c r="J37" s="12" t="n"/>
      <c r="K37" s="10" t="n"/>
      <c r="L37" s="12" t="n"/>
      <c r="M37" s="11">
        <f>IF(A37="","",COUNTIF('Referral Log'!$C$4:$C$400,A37))</f>
        <v/>
      </c>
      <c r="N37" s="10" t="n"/>
    </row>
    <row r="38">
      <c r="A38" s="10" t="n"/>
      <c r="B38" s="10" t="n"/>
      <c r="C38" s="11">
        <f>IF(B38="","",IF(B38="Business broker","1 - Highest",IF(OR(B38="POS installer",B38="Bookkeeper / CPA"),"2 - High",IF(OR(B38="Liquor / food rep",B38="Consultant"),"3 - Strong",IF(B38="Other","5 - Other","4 - Good")))))</f>
        <v/>
      </c>
      <c r="D38" s="10" t="n"/>
      <c r="E38" s="10" t="n"/>
      <c r="F38" s="10" t="n"/>
      <c r="G38" s="10" t="n"/>
      <c r="H38" s="10" t="n"/>
      <c r="I38" s="10" t="n"/>
      <c r="J38" s="12" t="n"/>
      <c r="K38" s="10" t="n"/>
      <c r="L38" s="12" t="n"/>
      <c r="M38" s="11">
        <f>IF(A38="","",COUNTIF('Referral Log'!$C$4:$C$400,A38))</f>
        <v/>
      </c>
      <c r="N38" s="10" t="n"/>
    </row>
    <row r="39">
      <c r="A39" s="10" t="n"/>
      <c r="B39" s="10" t="n"/>
      <c r="C39" s="11">
        <f>IF(B39="","",IF(B39="Business broker","1 - Highest",IF(OR(B39="POS installer",B39="Bookkeeper / CPA"),"2 - High",IF(OR(B39="Liquor / food rep",B39="Consultant"),"3 - Strong",IF(B39="Other","5 - Other","4 - Good")))))</f>
        <v/>
      </c>
      <c r="D39" s="10" t="n"/>
      <c r="E39" s="10" t="n"/>
      <c r="F39" s="10" t="n"/>
      <c r="G39" s="10" t="n"/>
      <c r="H39" s="10" t="n"/>
      <c r="I39" s="10" t="n"/>
      <c r="J39" s="12" t="n"/>
      <c r="K39" s="10" t="n"/>
      <c r="L39" s="12" t="n"/>
      <c r="M39" s="11">
        <f>IF(A39="","",COUNTIF('Referral Log'!$C$4:$C$400,A39))</f>
        <v/>
      </c>
      <c r="N39" s="10" t="n"/>
    </row>
    <row r="40">
      <c r="A40" s="10" t="n"/>
      <c r="B40" s="10" t="n"/>
      <c r="C40" s="11">
        <f>IF(B40="","",IF(B40="Business broker","1 - Highest",IF(OR(B40="POS installer",B40="Bookkeeper / CPA"),"2 - High",IF(OR(B40="Liquor / food rep",B40="Consultant"),"3 - Strong",IF(B40="Other","5 - Other","4 - Good")))))</f>
        <v/>
      </c>
      <c r="D40" s="10" t="n"/>
      <c r="E40" s="10" t="n"/>
      <c r="F40" s="10" t="n"/>
      <c r="G40" s="10" t="n"/>
      <c r="H40" s="10" t="n"/>
      <c r="I40" s="10" t="n"/>
      <c r="J40" s="12" t="n"/>
      <c r="K40" s="10" t="n"/>
      <c r="L40" s="12" t="n"/>
      <c r="M40" s="11">
        <f>IF(A40="","",COUNTIF('Referral Log'!$C$4:$C$400,A40))</f>
        <v/>
      </c>
      <c r="N40" s="10" t="n"/>
    </row>
    <row r="41">
      <c r="A41" s="10" t="n"/>
      <c r="B41" s="10" t="n"/>
      <c r="C41" s="11">
        <f>IF(B41="","",IF(B41="Business broker","1 - Highest",IF(OR(B41="POS installer",B41="Bookkeeper / CPA"),"2 - High",IF(OR(B41="Liquor / food rep",B41="Consultant"),"3 - Strong",IF(B41="Other","5 - Other","4 - Good")))))</f>
        <v/>
      </c>
      <c r="D41" s="10" t="n"/>
      <c r="E41" s="10" t="n"/>
      <c r="F41" s="10" t="n"/>
      <c r="G41" s="10" t="n"/>
      <c r="H41" s="10" t="n"/>
      <c r="I41" s="10" t="n"/>
      <c r="J41" s="12" t="n"/>
      <c r="K41" s="10" t="n"/>
      <c r="L41" s="12" t="n"/>
      <c r="M41" s="11">
        <f>IF(A41="","",COUNTIF('Referral Log'!$C$4:$C$400,A41))</f>
        <v/>
      </c>
      <c r="N41" s="10" t="n"/>
    </row>
    <row r="42">
      <c r="A42" s="10" t="n"/>
      <c r="B42" s="10" t="n"/>
      <c r="C42" s="11">
        <f>IF(B42="","",IF(B42="Business broker","1 - Highest",IF(OR(B42="POS installer",B42="Bookkeeper / CPA"),"2 - High",IF(OR(B42="Liquor / food rep",B42="Consultant"),"3 - Strong",IF(B42="Other","5 - Other","4 - Good")))))</f>
        <v/>
      </c>
      <c r="D42" s="10" t="n"/>
      <c r="E42" s="10" t="n"/>
      <c r="F42" s="10" t="n"/>
      <c r="G42" s="10" t="n"/>
      <c r="H42" s="10" t="n"/>
      <c r="I42" s="10" t="n"/>
      <c r="J42" s="12" t="n"/>
      <c r="K42" s="10" t="n"/>
      <c r="L42" s="12" t="n"/>
      <c r="M42" s="11">
        <f>IF(A42="","",COUNTIF('Referral Log'!$C$4:$C$400,A42))</f>
        <v/>
      </c>
      <c r="N42" s="10" t="n"/>
    </row>
    <row r="43">
      <c r="A43" s="10" t="n"/>
      <c r="B43" s="10" t="n"/>
      <c r="C43" s="11">
        <f>IF(B43="","",IF(B43="Business broker","1 - Highest",IF(OR(B43="POS installer",B43="Bookkeeper / CPA"),"2 - High",IF(OR(B43="Liquor / food rep",B43="Consultant"),"3 - Strong",IF(B43="Other","5 - Other","4 - Good")))))</f>
        <v/>
      </c>
      <c r="D43" s="10" t="n"/>
      <c r="E43" s="10" t="n"/>
      <c r="F43" s="10" t="n"/>
      <c r="G43" s="10" t="n"/>
      <c r="H43" s="10" t="n"/>
      <c r="I43" s="10" t="n"/>
      <c r="J43" s="12" t="n"/>
      <c r="K43" s="10" t="n"/>
      <c r="L43" s="12" t="n"/>
      <c r="M43" s="11">
        <f>IF(A43="","",COUNTIF('Referral Log'!$C$4:$C$400,A43))</f>
        <v/>
      </c>
      <c r="N43" s="10" t="n"/>
    </row>
    <row r="44">
      <c r="A44" s="10" t="n"/>
      <c r="B44" s="10" t="n"/>
      <c r="C44" s="11">
        <f>IF(B44="","",IF(B44="Business broker","1 - Highest",IF(OR(B44="POS installer",B44="Bookkeeper / CPA"),"2 - High",IF(OR(B44="Liquor / food rep",B44="Consultant"),"3 - Strong",IF(B44="Other","5 - Other","4 - Good")))))</f>
        <v/>
      </c>
      <c r="D44" s="10" t="n"/>
      <c r="E44" s="10" t="n"/>
      <c r="F44" s="10" t="n"/>
      <c r="G44" s="10" t="n"/>
      <c r="H44" s="10" t="n"/>
      <c r="I44" s="10" t="n"/>
      <c r="J44" s="12" t="n"/>
      <c r="K44" s="10" t="n"/>
      <c r="L44" s="12" t="n"/>
      <c r="M44" s="11">
        <f>IF(A44="","",COUNTIF('Referral Log'!$C$4:$C$400,A44))</f>
        <v/>
      </c>
      <c r="N44" s="10" t="n"/>
    </row>
    <row r="45">
      <c r="A45" s="10" t="n"/>
      <c r="B45" s="10" t="n"/>
      <c r="C45" s="11">
        <f>IF(B45="","",IF(B45="Business broker","1 - Highest",IF(OR(B45="POS installer",B45="Bookkeeper / CPA"),"2 - High",IF(OR(B45="Liquor / food rep",B45="Consultant"),"3 - Strong",IF(B45="Other","5 - Other","4 - Good")))))</f>
        <v/>
      </c>
      <c r="D45" s="10" t="n"/>
      <c r="E45" s="10" t="n"/>
      <c r="F45" s="10" t="n"/>
      <c r="G45" s="10" t="n"/>
      <c r="H45" s="10" t="n"/>
      <c r="I45" s="10" t="n"/>
      <c r="J45" s="12" t="n"/>
      <c r="K45" s="10" t="n"/>
      <c r="L45" s="12" t="n"/>
      <c r="M45" s="11">
        <f>IF(A45="","",COUNTIF('Referral Log'!$C$4:$C$400,A45))</f>
        <v/>
      </c>
      <c r="N45" s="10" t="n"/>
    </row>
    <row r="46">
      <c r="A46" s="10" t="n"/>
      <c r="B46" s="10" t="n"/>
      <c r="C46" s="11">
        <f>IF(B46="","",IF(B46="Business broker","1 - Highest",IF(OR(B46="POS installer",B46="Bookkeeper / CPA"),"2 - High",IF(OR(B46="Liquor / food rep",B46="Consultant"),"3 - Strong",IF(B46="Other","5 - Other","4 - Good")))))</f>
        <v/>
      </c>
      <c r="D46" s="10" t="n"/>
      <c r="E46" s="10" t="n"/>
      <c r="F46" s="10" t="n"/>
      <c r="G46" s="10" t="n"/>
      <c r="H46" s="10" t="n"/>
      <c r="I46" s="10" t="n"/>
      <c r="J46" s="12" t="n"/>
      <c r="K46" s="10" t="n"/>
      <c r="L46" s="12" t="n"/>
      <c r="M46" s="11">
        <f>IF(A46="","",COUNTIF('Referral Log'!$C$4:$C$400,A46))</f>
        <v/>
      </c>
      <c r="N46" s="10" t="n"/>
    </row>
    <row r="47">
      <c r="A47" s="10" t="n"/>
      <c r="B47" s="10" t="n"/>
      <c r="C47" s="11">
        <f>IF(B47="","",IF(B47="Business broker","1 - Highest",IF(OR(B47="POS installer",B47="Bookkeeper / CPA"),"2 - High",IF(OR(B47="Liquor / food rep",B47="Consultant"),"3 - Strong",IF(B47="Other","5 - Other","4 - Good")))))</f>
        <v/>
      </c>
      <c r="D47" s="10" t="n"/>
      <c r="E47" s="10" t="n"/>
      <c r="F47" s="10" t="n"/>
      <c r="G47" s="10" t="n"/>
      <c r="H47" s="10" t="n"/>
      <c r="I47" s="10" t="n"/>
      <c r="J47" s="12" t="n"/>
      <c r="K47" s="10" t="n"/>
      <c r="L47" s="12" t="n"/>
      <c r="M47" s="11">
        <f>IF(A47="","",COUNTIF('Referral Log'!$C$4:$C$400,A47))</f>
        <v/>
      </c>
      <c r="N47" s="10" t="n"/>
    </row>
    <row r="48">
      <c r="A48" s="10" t="n"/>
      <c r="B48" s="10" t="n"/>
      <c r="C48" s="11">
        <f>IF(B48="","",IF(B48="Business broker","1 - Highest",IF(OR(B48="POS installer",B48="Bookkeeper / CPA"),"2 - High",IF(OR(B48="Liquor / food rep",B48="Consultant"),"3 - Strong",IF(B48="Other","5 - Other","4 - Good")))))</f>
        <v/>
      </c>
      <c r="D48" s="10" t="n"/>
      <c r="E48" s="10" t="n"/>
      <c r="F48" s="10" t="n"/>
      <c r="G48" s="10" t="n"/>
      <c r="H48" s="10" t="n"/>
      <c r="I48" s="10" t="n"/>
      <c r="J48" s="12" t="n"/>
      <c r="K48" s="10" t="n"/>
      <c r="L48" s="12" t="n"/>
      <c r="M48" s="11">
        <f>IF(A48="","",COUNTIF('Referral Log'!$C$4:$C$400,A48))</f>
        <v/>
      </c>
      <c r="N48" s="10" t="n"/>
    </row>
    <row r="49">
      <c r="A49" s="10" t="n"/>
      <c r="B49" s="10" t="n"/>
      <c r="C49" s="11">
        <f>IF(B49="","",IF(B49="Business broker","1 - Highest",IF(OR(B49="POS installer",B49="Bookkeeper / CPA"),"2 - High",IF(OR(B49="Liquor / food rep",B49="Consultant"),"3 - Strong",IF(B49="Other","5 - Other","4 - Good")))))</f>
        <v/>
      </c>
      <c r="D49" s="10" t="n"/>
      <c r="E49" s="10" t="n"/>
      <c r="F49" s="10" t="n"/>
      <c r="G49" s="10" t="n"/>
      <c r="H49" s="10" t="n"/>
      <c r="I49" s="10" t="n"/>
      <c r="J49" s="12" t="n"/>
      <c r="K49" s="10" t="n"/>
      <c r="L49" s="12" t="n"/>
      <c r="M49" s="11">
        <f>IF(A49="","",COUNTIF('Referral Log'!$C$4:$C$400,A49))</f>
        <v/>
      </c>
      <c r="N49" s="10" t="n"/>
    </row>
    <row r="50">
      <c r="A50" s="10" t="n"/>
      <c r="B50" s="10" t="n"/>
      <c r="C50" s="11">
        <f>IF(B50="","",IF(B50="Business broker","1 - Highest",IF(OR(B50="POS installer",B50="Bookkeeper / CPA"),"2 - High",IF(OR(B50="Liquor / food rep",B50="Consultant"),"3 - Strong",IF(B50="Other","5 - Other","4 - Good")))))</f>
        <v/>
      </c>
      <c r="D50" s="10" t="n"/>
      <c r="E50" s="10" t="n"/>
      <c r="F50" s="10" t="n"/>
      <c r="G50" s="10" t="n"/>
      <c r="H50" s="10" t="n"/>
      <c r="I50" s="10" t="n"/>
      <c r="J50" s="12" t="n"/>
      <c r="K50" s="10" t="n"/>
      <c r="L50" s="12" t="n"/>
      <c r="M50" s="11">
        <f>IF(A50="","",COUNTIF('Referral Log'!$C$4:$C$400,A50))</f>
        <v/>
      </c>
      <c r="N50" s="10" t="n"/>
    </row>
    <row r="51">
      <c r="A51" s="10" t="n"/>
      <c r="B51" s="10" t="n"/>
      <c r="C51" s="11">
        <f>IF(B51="","",IF(B51="Business broker","1 - Highest",IF(OR(B51="POS installer",B51="Bookkeeper / CPA"),"2 - High",IF(OR(B51="Liquor / food rep",B51="Consultant"),"3 - Strong",IF(B51="Other","5 - Other","4 - Good")))))</f>
        <v/>
      </c>
      <c r="D51" s="10" t="n"/>
      <c r="E51" s="10" t="n"/>
      <c r="F51" s="10" t="n"/>
      <c r="G51" s="10" t="n"/>
      <c r="H51" s="10" t="n"/>
      <c r="I51" s="10" t="n"/>
      <c r="J51" s="12" t="n"/>
      <c r="K51" s="10" t="n"/>
      <c r="L51" s="12" t="n"/>
      <c r="M51" s="11">
        <f>IF(A51="","",COUNTIF('Referral Log'!$C$4:$C$400,A51))</f>
        <v/>
      </c>
      <c r="N51" s="10" t="n"/>
    </row>
    <row r="52">
      <c r="A52" s="10" t="n"/>
      <c r="B52" s="10" t="n"/>
      <c r="C52" s="11">
        <f>IF(B52="","",IF(B52="Business broker","1 - Highest",IF(OR(B52="POS installer",B52="Bookkeeper / CPA"),"2 - High",IF(OR(B52="Liquor / food rep",B52="Consultant"),"3 - Strong",IF(B52="Other","5 - Other","4 - Good")))))</f>
        <v/>
      </c>
      <c r="D52" s="10" t="n"/>
      <c r="E52" s="10" t="n"/>
      <c r="F52" s="10" t="n"/>
      <c r="G52" s="10" t="n"/>
      <c r="H52" s="10" t="n"/>
      <c r="I52" s="10" t="n"/>
      <c r="J52" s="12" t="n"/>
      <c r="K52" s="10" t="n"/>
      <c r="L52" s="12" t="n"/>
      <c r="M52" s="11">
        <f>IF(A52="","",COUNTIF('Referral Log'!$C$4:$C$400,A52))</f>
        <v/>
      </c>
      <c r="N52" s="10" t="n"/>
    </row>
    <row r="53">
      <c r="A53" s="10" t="n"/>
      <c r="B53" s="10" t="n"/>
      <c r="C53" s="11">
        <f>IF(B53="","",IF(B53="Business broker","1 - Highest",IF(OR(B53="POS installer",B53="Bookkeeper / CPA"),"2 - High",IF(OR(B53="Liquor / food rep",B53="Consultant"),"3 - Strong",IF(B53="Other","5 - Other","4 - Good")))))</f>
        <v/>
      </c>
      <c r="D53" s="10" t="n"/>
      <c r="E53" s="10" t="n"/>
      <c r="F53" s="10" t="n"/>
      <c r="G53" s="10" t="n"/>
      <c r="H53" s="10" t="n"/>
      <c r="I53" s="10" t="n"/>
      <c r="J53" s="12" t="n"/>
      <c r="K53" s="10" t="n"/>
      <c r="L53" s="12" t="n"/>
      <c r="M53" s="11">
        <f>IF(A53="","",COUNTIF('Referral Log'!$C$4:$C$400,A53))</f>
        <v/>
      </c>
      <c r="N53" s="10" t="n"/>
    </row>
    <row r="54">
      <c r="A54" s="10" t="n"/>
      <c r="B54" s="10" t="n"/>
      <c r="C54" s="11">
        <f>IF(B54="","",IF(B54="Business broker","1 - Highest",IF(OR(B54="POS installer",B54="Bookkeeper / CPA"),"2 - High",IF(OR(B54="Liquor / food rep",B54="Consultant"),"3 - Strong",IF(B54="Other","5 - Other","4 - Good")))))</f>
        <v/>
      </c>
      <c r="D54" s="10" t="n"/>
      <c r="E54" s="10" t="n"/>
      <c r="F54" s="10" t="n"/>
      <c r="G54" s="10" t="n"/>
      <c r="H54" s="10" t="n"/>
      <c r="I54" s="10" t="n"/>
      <c r="J54" s="12" t="n"/>
      <c r="K54" s="10" t="n"/>
      <c r="L54" s="12" t="n"/>
      <c r="M54" s="11">
        <f>IF(A54="","",COUNTIF('Referral Log'!$C$4:$C$400,A54))</f>
        <v/>
      </c>
      <c r="N54" s="10" t="n"/>
    </row>
    <row r="55">
      <c r="A55" s="10" t="n"/>
      <c r="B55" s="10" t="n"/>
      <c r="C55" s="11">
        <f>IF(B55="","",IF(B55="Business broker","1 - Highest",IF(OR(B55="POS installer",B55="Bookkeeper / CPA"),"2 - High",IF(OR(B55="Liquor / food rep",B55="Consultant"),"3 - Strong",IF(B55="Other","5 - Other","4 - Good")))))</f>
        <v/>
      </c>
      <c r="D55" s="10" t="n"/>
      <c r="E55" s="10" t="n"/>
      <c r="F55" s="10" t="n"/>
      <c r="G55" s="10" t="n"/>
      <c r="H55" s="10" t="n"/>
      <c r="I55" s="10" t="n"/>
      <c r="J55" s="12" t="n"/>
      <c r="K55" s="10" t="n"/>
      <c r="L55" s="12" t="n"/>
      <c r="M55" s="11">
        <f>IF(A55="","",COUNTIF('Referral Log'!$C$4:$C$400,A55))</f>
        <v/>
      </c>
      <c r="N55" s="10" t="n"/>
    </row>
    <row r="56">
      <c r="A56" s="10" t="n"/>
      <c r="B56" s="10" t="n"/>
      <c r="C56" s="11">
        <f>IF(B56="","",IF(B56="Business broker","1 - Highest",IF(OR(B56="POS installer",B56="Bookkeeper / CPA"),"2 - High",IF(OR(B56="Liquor / food rep",B56="Consultant"),"3 - Strong",IF(B56="Other","5 - Other","4 - Good")))))</f>
        <v/>
      </c>
      <c r="D56" s="10" t="n"/>
      <c r="E56" s="10" t="n"/>
      <c r="F56" s="10" t="n"/>
      <c r="G56" s="10" t="n"/>
      <c r="H56" s="10" t="n"/>
      <c r="I56" s="10" t="n"/>
      <c r="J56" s="12" t="n"/>
      <c r="K56" s="10" t="n"/>
      <c r="L56" s="12" t="n"/>
      <c r="M56" s="11">
        <f>IF(A56="","",COUNTIF('Referral Log'!$C$4:$C$400,A56))</f>
        <v/>
      </c>
      <c r="N56" s="10" t="n"/>
    </row>
    <row r="57">
      <c r="A57" s="10" t="n"/>
      <c r="B57" s="10" t="n"/>
      <c r="C57" s="11">
        <f>IF(B57="","",IF(B57="Business broker","1 - Highest",IF(OR(B57="POS installer",B57="Bookkeeper / CPA"),"2 - High",IF(OR(B57="Liquor / food rep",B57="Consultant"),"3 - Strong",IF(B57="Other","5 - Other","4 - Good")))))</f>
        <v/>
      </c>
      <c r="D57" s="10" t="n"/>
      <c r="E57" s="10" t="n"/>
      <c r="F57" s="10" t="n"/>
      <c r="G57" s="10" t="n"/>
      <c r="H57" s="10" t="n"/>
      <c r="I57" s="10" t="n"/>
      <c r="J57" s="12" t="n"/>
      <c r="K57" s="10" t="n"/>
      <c r="L57" s="12" t="n"/>
      <c r="M57" s="11">
        <f>IF(A57="","",COUNTIF('Referral Log'!$C$4:$C$400,A57))</f>
        <v/>
      </c>
      <c r="N57" s="10" t="n"/>
    </row>
    <row r="58">
      <c r="A58" s="10" t="n"/>
      <c r="B58" s="10" t="n"/>
      <c r="C58" s="11">
        <f>IF(B58="","",IF(B58="Business broker","1 - Highest",IF(OR(B58="POS installer",B58="Bookkeeper / CPA"),"2 - High",IF(OR(B58="Liquor / food rep",B58="Consultant"),"3 - Strong",IF(B58="Other","5 - Other","4 - Good")))))</f>
        <v/>
      </c>
      <c r="D58" s="10" t="n"/>
      <c r="E58" s="10" t="n"/>
      <c r="F58" s="10" t="n"/>
      <c r="G58" s="10" t="n"/>
      <c r="H58" s="10" t="n"/>
      <c r="I58" s="10" t="n"/>
      <c r="J58" s="12" t="n"/>
      <c r="K58" s="10" t="n"/>
      <c r="L58" s="12" t="n"/>
      <c r="M58" s="11">
        <f>IF(A58="","",COUNTIF('Referral Log'!$C$4:$C$400,A58))</f>
        <v/>
      </c>
      <c r="N58" s="10" t="n"/>
    </row>
    <row r="59">
      <c r="A59" s="10" t="n"/>
      <c r="B59" s="10" t="n"/>
      <c r="C59" s="11">
        <f>IF(B59="","",IF(B59="Business broker","1 - Highest",IF(OR(B59="POS installer",B59="Bookkeeper / CPA"),"2 - High",IF(OR(B59="Liquor / food rep",B59="Consultant"),"3 - Strong",IF(B59="Other","5 - Other","4 - Good")))))</f>
        <v/>
      </c>
      <c r="D59" s="10" t="n"/>
      <c r="E59" s="10" t="n"/>
      <c r="F59" s="10" t="n"/>
      <c r="G59" s="10" t="n"/>
      <c r="H59" s="10" t="n"/>
      <c r="I59" s="10" t="n"/>
      <c r="J59" s="12" t="n"/>
      <c r="K59" s="10" t="n"/>
      <c r="L59" s="12" t="n"/>
      <c r="M59" s="11">
        <f>IF(A59="","",COUNTIF('Referral Log'!$C$4:$C$400,A59))</f>
        <v/>
      </c>
      <c r="N59" s="10" t="n"/>
    </row>
    <row r="60">
      <c r="A60" s="10" t="n"/>
      <c r="B60" s="10" t="n"/>
      <c r="C60" s="11">
        <f>IF(B60="","",IF(B60="Business broker","1 - Highest",IF(OR(B60="POS installer",B60="Bookkeeper / CPA"),"2 - High",IF(OR(B60="Liquor / food rep",B60="Consultant"),"3 - Strong",IF(B60="Other","5 - Other","4 - Good")))))</f>
        <v/>
      </c>
      <c r="D60" s="10" t="n"/>
      <c r="E60" s="10" t="n"/>
      <c r="F60" s="10" t="n"/>
      <c r="G60" s="10" t="n"/>
      <c r="H60" s="10" t="n"/>
      <c r="I60" s="10" t="n"/>
      <c r="J60" s="12" t="n"/>
      <c r="K60" s="10" t="n"/>
      <c r="L60" s="12" t="n"/>
      <c r="M60" s="11">
        <f>IF(A60="","",COUNTIF('Referral Log'!$C$4:$C$400,A60))</f>
        <v/>
      </c>
      <c r="N60" s="10" t="n"/>
    </row>
    <row r="61">
      <c r="A61" s="10" t="n"/>
      <c r="B61" s="10" t="n"/>
      <c r="C61" s="11">
        <f>IF(B61="","",IF(B61="Business broker","1 - Highest",IF(OR(B61="POS installer",B61="Bookkeeper / CPA"),"2 - High",IF(OR(B61="Liquor / food rep",B61="Consultant"),"3 - Strong",IF(B61="Other","5 - Other","4 - Good")))))</f>
        <v/>
      </c>
      <c r="D61" s="10" t="n"/>
      <c r="E61" s="10" t="n"/>
      <c r="F61" s="10" t="n"/>
      <c r="G61" s="10" t="n"/>
      <c r="H61" s="10" t="n"/>
      <c r="I61" s="10" t="n"/>
      <c r="J61" s="12" t="n"/>
      <c r="K61" s="10" t="n"/>
      <c r="L61" s="12" t="n"/>
      <c r="M61" s="11">
        <f>IF(A61="","",COUNTIF('Referral Log'!$C$4:$C$400,A61))</f>
        <v/>
      </c>
      <c r="N61" s="10" t="n"/>
    </row>
    <row r="62">
      <c r="A62" s="10" t="n"/>
      <c r="B62" s="10" t="n"/>
      <c r="C62" s="11">
        <f>IF(B62="","",IF(B62="Business broker","1 - Highest",IF(OR(B62="POS installer",B62="Bookkeeper / CPA"),"2 - High",IF(OR(B62="Liquor / food rep",B62="Consultant"),"3 - Strong",IF(B62="Other","5 - Other","4 - Good")))))</f>
        <v/>
      </c>
      <c r="D62" s="10" t="n"/>
      <c r="E62" s="10" t="n"/>
      <c r="F62" s="10" t="n"/>
      <c r="G62" s="10" t="n"/>
      <c r="H62" s="10" t="n"/>
      <c r="I62" s="10" t="n"/>
      <c r="J62" s="12" t="n"/>
      <c r="K62" s="10" t="n"/>
      <c r="L62" s="12" t="n"/>
      <c r="M62" s="11">
        <f>IF(A62="","",COUNTIF('Referral Log'!$C$4:$C$400,A62))</f>
        <v/>
      </c>
      <c r="N62" s="10" t="n"/>
    </row>
    <row r="63">
      <c r="A63" s="10" t="n"/>
      <c r="B63" s="10" t="n"/>
      <c r="C63" s="11">
        <f>IF(B63="","",IF(B63="Business broker","1 - Highest",IF(OR(B63="POS installer",B63="Bookkeeper / CPA"),"2 - High",IF(OR(B63="Liquor / food rep",B63="Consultant"),"3 - Strong",IF(B63="Other","5 - Other","4 - Good")))))</f>
        <v/>
      </c>
      <c r="D63" s="10" t="n"/>
      <c r="E63" s="10" t="n"/>
      <c r="F63" s="10" t="n"/>
      <c r="G63" s="10" t="n"/>
      <c r="H63" s="10" t="n"/>
      <c r="I63" s="10" t="n"/>
      <c r="J63" s="12" t="n"/>
      <c r="K63" s="10" t="n"/>
      <c r="L63" s="12" t="n"/>
      <c r="M63" s="11">
        <f>IF(A63="","",COUNTIF('Referral Log'!$C$4:$C$400,A63))</f>
        <v/>
      </c>
      <c r="N63" s="10" t="n"/>
    </row>
    <row r="64">
      <c r="A64" s="10" t="n"/>
      <c r="B64" s="10" t="n"/>
      <c r="C64" s="11">
        <f>IF(B64="","",IF(B64="Business broker","1 - Highest",IF(OR(B64="POS installer",B64="Bookkeeper / CPA"),"2 - High",IF(OR(B64="Liquor / food rep",B64="Consultant"),"3 - Strong",IF(B64="Other","5 - Other","4 - Good")))))</f>
        <v/>
      </c>
      <c r="D64" s="10" t="n"/>
      <c r="E64" s="10" t="n"/>
      <c r="F64" s="10" t="n"/>
      <c r="G64" s="10" t="n"/>
      <c r="H64" s="10" t="n"/>
      <c r="I64" s="10" t="n"/>
      <c r="J64" s="12" t="n"/>
      <c r="K64" s="10" t="n"/>
      <c r="L64" s="12" t="n"/>
      <c r="M64" s="11">
        <f>IF(A64="","",COUNTIF('Referral Log'!$C$4:$C$400,A64))</f>
        <v/>
      </c>
      <c r="N64" s="10" t="n"/>
    </row>
    <row r="65">
      <c r="A65" s="10" t="n"/>
      <c r="B65" s="10" t="n"/>
      <c r="C65" s="11">
        <f>IF(B65="","",IF(B65="Business broker","1 - Highest",IF(OR(B65="POS installer",B65="Bookkeeper / CPA"),"2 - High",IF(OR(B65="Liquor / food rep",B65="Consultant"),"3 - Strong",IF(B65="Other","5 - Other","4 - Good")))))</f>
        <v/>
      </c>
      <c r="D65" s="10" t="n"/>
      <c r="E65" s="10" t="n"/>
      <c r="F65" s="10" t="n"/>
      <c r="G65" s="10" t="n"/>
      <c r="H65" s="10" t="n"/>
      <c r="I65" s="10" t="n"/>
      <c r="J65" s="12" t="n"/>
      <c r="K65" s="10" t="n"/>
      <c r="L65" s="12" t="n"/>
      <c r="M65" s="11">
        <f>IF(A65="","",COUNTIF('Referral Log'!$C$4:$C$400,A65))</f>
        <v/>
      </c>
      <c r="N65" s="10" t="n"/>
    </row>
    <row r="66">
      <c r="A66" s="10" t="n"/>
      <c r="B66" s="10" t="n"/>
      <c r="C66" s="11">
        <f>IF(B66="","",IF(B66="Business broker","1 - Highest",IF(OR(B66="POS installer",B66="Bookkeeper / CPA"),"2 - High",IF(OR(B66="Liquor / food rep",B66="Consultant"),"3 - Strong",IF(B66="Other","5 - Other","4 - Good")))))</f>
        <v/>
      </c>
      <c r="D66" s="10" t="n"/>
      <c r="E66" s="10" t="n"/>
      <c r="F66" s="10" t="n"/>
      <c r="G66" s="10" t="n"/>
      <c r="H66" s="10" t="n"/>
      <c r="I66" s="10" t="n"/>
      <c r="J66" s="12" t="n"/>
      <c r="K66" s="10" t="n"/>
      <c r="L66" s="12" t="n"/>
      <c r="M66" s="11">
        <f>IF(A66="","",COUNTIF('Referral Log'!$C$4:$C$400,A66))</f>
        <v/>
      </c>
      <c r="N66" s="10" t="n"/>
    </row>
    <row r="67">
      <c r="A67" s="10" t="n"/>
      <c r="B67" s="10" t="n"/>
      <c r="C67" s="11">
        <f>IF(B67="","",IF(B67="Business broker","1 - Highest",IF(OR(B67="POS installer",B67="Bookkeeper / CPA"),"2 - High",IF(OR(B67="Liquor / food rep",B67="Consultant"),"3 - Strong",IF(B67="Other","5 - Other","4 - Good")))))</f>
        <v/>
      </c>
      <c r="D67" s="10" t="n"/>
      <c r="E67" s="10" t="n"/>
      <c r="F67" s="10" t="n"/>
      <c r="G67" s="10" t="n"/>
      <c r="H67" s="10" t="n"/>
      <c r="I67" s="10" t="n"/>
      <c r="J67" s="12" t="n"/>
      <c r="K67" s="10" t="n"/>
      <c r="L67" s="12" t="n"/>
      <c r="M67" s="11">
        <f>IF(A67="","",COUNTIF('Referral Log'!$C$4:$C$400,A67))</f>
        <v/>
      </c>
      <c r="N67" s="10" t="n"/>
    </row>
    <row r="68">
      <c r="A68" s="10" t="n"/>
      <c r="B68" s="10" t="n"/>
      <c r="C68" s="11">
        <f>IF(B68="","",IF(B68="Business broker","1 - Highest",IF(OR(B68="POS installer",B68="Bookkeeper / CPA"),"2 - High",IF(OR(B68="Liquor / food rep",B68="Consultant"),"3 - Strong",IF(B68="Other","5 - Other","4 - Good")))))</f>
        <v/>
      </c>
      <c r="D68" s="10" t="n"/>
      <c r="E68" s="10" t="n"/>
      <c r="F68" s="10" t="n"/>
      <c r="G68" s="10" t="n"/>
      <c r="H68" s="10" t="n"/>
      <c r="I68" s="10" t="n"/>
      <c r="J68" s="12" t="n"/>
      <c r="K68" s="10" t="n"/>
      <c r="L68" s="12" t="n"/>
      <c r="M68" s="11">
        <f>IF(A68="","",COUNTIF('Referral Log'!$C$4:$C$400,A68))</f>
        <v/>
      </c>
      <c r="N68" s="10" t="n"/>
    </row>
    <row r="69">
      <c r="A69" s="10" t="n"/>
      <c r="B69" s="10" t="n"/>
      <c r="C69" s="11">
        <f>IF(B69="","",IF(B69="Business broker","1 - Highest",IF(OR(B69="POS installer",B69="Bookkeeper / CPA"),"2 - High",IF(OR(B69="Liquor / food rep",B69="Consultant"),"3 - Strong",IF(B69="Other","5 - Other","4 - Good")))))</f>
        <v/>
      </c>
      <c r="D69" s="10" t="n"/>
      <c r="E69" s="10" t="n"/>
      <c r="F69" s="10" t="n"/>
      <c r="G69" s="10" t="n"/>
      <c r="H69" s="10" t="n"/>
      <c r="I69" s="10" t="n"/>
      <c r="J69" s="12" t="n"/>
      <c r="K69" s="10" t="n"/>
      <c r="L69" s="12" t="n"/>
      <c r="M69" s="11">
        <f>IF(A69="","",COUNTIF('Referral Log'!$C$4:$C$400,A69))</f>
        <v/>
      </c>
      <c r="N69" s="10" t="n"/>
    </row>
    <row r="70">
      <c r="A70" s="10" t="n"/>
      <c r="B70" s="10" t="n"/>
      <c r="C70" s="11">
        <f>IF(B70="","",IF(B70="Business broker","1 - Highest",IF(OR(B70="POS installer",B70="Bookkeeper / CPA"),"2 - High",IF(OR(B70="Liquor / food rep",B70="Consultant"),"3 - Strong",IF(B70="Other","5 - Other","4 - Good")))))</f>
        <v/>
      </c>
      <c r="D70" s="10" t="n"/>
      <c r="E70" s="10" t="n"/>
      <c r="F70" s="10" t="n"/>
      <c r="G70" s="10" t="n"/>
      <c r="H70" s="10" t="n"/>
      <c r="I70" s="10" t="n"/>
      <c r="J70" s="12" t="n"/>
      <c r="K70" s="10" t="n"/>
      <c r="L70" s="12" t="n"/>
      <c r="M70" s="11">
        <f>IF(A70="","",COUNTIF('Referral Log'!$C$4:$C$400,A70))</f>
        <v/>
      </c>
      <c r="N70" s="10" t="n"/>
    </row>
    <row r="71">
      <c r="A71" s="10" t="n"/>
      <c r="B71" s="10" t="n"/>
      <c r="C71" s="11">
        <f>IF(B71="","",IF(B71="Business broker","1 - Highest",IF(OR(B71="POS installer",B71="Bookkeeper / CPA"),"2 - High",IF(OR(B71="Liquor / food rep",B71="Consultant"),"3 - Strong",IF(B71="Other","5 - Other","4 - Good")))))</f>
        <v/>
      </c>
      <c r="D71" s="10" t="n"/>
      <c r="E71" s="10" t="n"/>
      <c r="F71" s="10" t="n"/>
      <c r="G71" s="10" t="n"/>
      <c r="H71" s="10" t="n"/>
      <c r="I71" s="10" t="n"/>
      <c r="J71" s="12" t="n"/>
      <c r="K71" s="10" t="n"/>
      <c r="L71" s="12" t="n"/>
      <c r="M71" s="11">
        <f>IF(A71="","",COUNTIF('Referral Log'!$C$4:$C$400,A71))</f>
        <v/>
      </c>
      <c r="N71" s="10" t="n"/>
    </row>
    <row r="72">
      <c r="A72" s="10" t="n"/>
      <c r="B72" s="10" t="n"/>
      <c r="C72" s="11">
        <f>IF(B72="","",IF(B72="Business broker","1 - Highest",IF(OR(B72="POS installer",B72="Bookkeeper / CPA"),"2 - High",IF(OR(B72="Liquor / food rep",B72="Consultant"),"3 - Strong",IF(B72="Other","5 - Other","4 - Good")))))</f>
        <v/>
      </c>
      <c r="D72" s="10" t="n"/>
      <c r="E72" s="10" t="n"/>
      <c r="F72" s="10" t="n"/>
      <c r="G72" s="10" t="n"/>
      <c r="H72" s="10" t="n"/>
      <c r="I72" s="10" t="n"/>
      <c r="J72" s="12" t="n"/>
      <c r="K72" s="10" t="n"/>
      <c r="L72" s="12" t="n"/>
      <c r="M72" s="11">
        <f>IF(A72="","",COUNTIF('Referral Log'!$C$4:$C$400,A72))</f>
        <v/>
      </c>
      <c r="N72" s="10" t="n"/>
    </row>
    <row r="73">
      <c r="A73" s="10" t="n"/>
      <c r="B73" s="10" t="n"/>
      <c r="C73" s="11">
        <f>IF(B73="","",IF(B73="Business broker","1 - Highest",IF(OR(B73="POS installer",B73="Bookkeeper / CPA"),"2 - High",IF(OR(B73="Liquor / food rep",B73="Consultant"),"3 - Strong",IF(B73="Other","5 - Other","4 - Good")))))</f>
        <v/>
      </c>
      <c r="D73" s="10" t="n"/>
      <c r="E73" s="10" t="n"/>
      <c r="F73" s="10" t="n"/>
      <c r="G73" s="10" t="n"/>
      <c r="H73" s="10" t="n"/>
      <c r="I73" s="10" t="n"/>
      <c r="J73" s="12" t="n"/>
      <c r="K73" s="10" t="n"/>
      <c r="L73" s="12" t="n"/>
      <c r="M73" s="11">
        <f>IF(A73="","",COUNTIF('Referral Log'!$C$4:$C$400,A73))</f>
        <v/>
      </c>
      <c r="N73" s="10" t="n"/>
    </row>
    <row r="74">
      <c r="A74" s="10" t="n"/>
      <c r="B74" s="10" t="n"/>
      <c r="C74" s="11">
        <f>IF(B74="","",IF(B74="Business broker","1 - Highest",IF(OR(B74="POS installer",B74="Bookkeeper / CPA"),"2 - High",IF(OR(B74="Liquor / food rep",B74="Consultant"),"3 - Strong",IF(B74="Other","5 - Other","4 - Good")))))</f>
        <v/>
      </c>
      <c r="D74" s="10" t="n"/>
      <c r="E74" s="10" t="n"/>
      <c r="F74" s="10" t="n"/>
      <c r="G74" s="10" t="n"/>
      <c r="H74" s="10" t="n"/>
      <c r="I74" s="10" t="n"/>
      <c r="J74" s="12" t="n"/>
      <c r="K74" s="10" t="n"/>
      <c r="L74" s="12" t="n"/>
      <c r="M74" s="11">
        <f>IF(A74="","",COUNTIF('Referral Log'!$C$4:$C$400,A74))</f>
        <v/>
      </c>
      <c r="N74" s="10" t="n"/>
    </row>
    <row r="75">
      <c r="A75" s="10" t="n"/>
      <c r="B75" s="10" t="n"/>
      <c r="C75" s="11">
        <f>IF(B75="","",IF(B75="Business broker","1 - Highest",IF(OR(B75="POS installer",B75="Bookkeeper / CPA"),"2 - High",IF(OR(B75="Liquor / food rep",B75="Consultant"),"3 - Strong",IF(B75="Other","5 - Other","4 - Good")))))</f>
        <v/>
      </c>
      <c r="D75" s="10" t="n"/>
      <c r="E75" s="10" t="n"/>
      <c r="F75" s="10" t="n"/>
      <c r="G75" s="10" t="n"/>
      <c r="H75" s="10" t="n"/>
      <c r="I75" s="10" t="n"/>
      <c r="J75" s="12" t="n"/>
      <c r="K75" s="10" t="n"/>
      <c r="L75" s="12" t="n"/>
      <c r="M75" s="11">
        <f>IF(A75="","",COUNTIF('Referral Log'!$C$4:$C$400,A75))</f>
        <v/>
      </c>
      <c r="N75" s="10" t="n"/>
    </row>
    <row r="76">
      <c r="A76" s="10" t="n"/>
      <c r="B76" s="10" t="n"/>
      <c r="C76" s="11">
        <f>IF(B76="","",IF(B76="Business broker","1 - Highest",IF(OR(B76="POS installer",B76="Bookkeeper / CPA"),"2 - High",IF(OR(B76="Liquor / food rep",B76="Consultant"),"3 - Strong",IF(B76="Other","5 - Other","4 - Good")))))</f>
        <v/>
      </c>
      <c r="D76" s="10" t="n"/>
      <c r="E76" s="10" t="n"/>
      <c r="F76" s="10" t="n"/>
      <c r="G76" s="10" t="n"/>
      <c r="H76" s="10" t="n"/>
      <c r="I76" s="10" t="n"/>
      <c r="J76" s="12" t="n"/>
      <c r="K76" s="10" t="n"/>
      <c r="L76" s="12" t="n"/>
      <c r="M76" s="11">
        <f>IF(A76="","",COUNTIF('Referral Log'!$C$4:$C$400,A76))</f>
        <v/>
      </c>
      <c r="N76" s="10" t="n"/>
    </row>
    <row r="77">
      <c r="A77" s="10" t="n"/>
      <c r="B77" s="10" t="n"/>
      <c r="C77" s="11">
        <f>IF(B77="","",IF(B77="Business broker","1 - Highest",IF(OR(B77="POS installer",B77="Bookkeeper / CPA"),"2 - High",IF(OR(B77="Liquor / food rep",B77="Consultant"),"3 - Strong",IF(B77="Other","5 - Other","4 - Good")))))</f>
        <v/>
      </c>
      <c r="D77" s="10" t="n"/>
      <c r="E77" s="10" t="n"/>
      <c r="F77" s="10" t="n"/>
      <c r="G77" s="10" t="n"/>
      <c r="H77" s="10" t="n"/>
      <c r="I77" s="10" t="n"/>
      <c r="J77" s="12" t="n"/>
      <c r="K77" s="10" t="n"/>
      <c r="L77" s="12" t="n"/>
      <c r="M77" s="11">
        <f>IF(A77="","",COUNTIF('Referral Log'!$C$4:$C$400,A77))</f>
        <v/>
      </c>
      <c r="N77" s="10" t="n"/>
    </row>
    <row r="78">
      <c r="A78" s="10" t="n"/>
      <c r="B78" s="10" t="n"/>
      <c r="C78" s="11">
        <f>IF(B78="","",IF(B78="Business broker","1 - Highest",IF(OR(B78="POS installer",B78="Bookkeeper / CPA"),"2 - High",IF(OR(B78="Liquor / food rep",B78="Consultant"),"3 - Strong",IF(B78="Other","5 - Other","4 - Good")))))</f>
        <v/>
      </c>
      <c r="D78" s="10" t="n"/>
      <c r="E78" s="10" t="n"/>
      <c r="F78" s="10" t="n"/>
      <c r="G78" s="10" t="n"/>
      <c r="H78" s="10" t="n"/>
      <c r="I78" s="10" t="n"/>
      <c r="J78" s="12" t="n"/>
      <c r="K78" s="10" t="n"/>
      <c r="L78" s="12" t="n"/>
      <c r="M78" s="11">
        <f>IF(A78="","",COUNTIF('Referral Log'!$C$4:$C$400,A78))</f>
        <v/>
      </c>
      <c r="N78" s="10" t="n"/>
    </row>
    <row r="79">
      <c r="A79" s="10" t="n"/>
      <c r="B79" s="10" t="n"/>
      <c r="C79" s="11">
        <f>IF(B79="","",IF(B79="Business broker","1 - Highest",IF(OR(B79="POS installer",B79="Bookkeeper / CPA"),"2 - High",IF(OR(B79="Liquor / food rep",B79="Consultant"),"3 - Strong",IF(B79="Other","5 - Other","4 - Good")))))</f>
        <v/>
      </c>
      <c r="D79" s="10" t="n"/>
      <c r="E79" s="10" t="n"/>
      <c r="F79" s="10" t="n"/>
      <c r="G79" s="10" t="n"/>
      <c r="H79" s="10" t="n"/>
      <c r="I79" s="10" t="n"/>
      <c r="J79" s="12" t="n"/>
      <c r="K79" s="10" t="n"/>
      <c r="L79" s="12" t="n"/>
      <c r="M79" s="11">
        <f>IF(A79="","",COUNTIF('Referral Log'!$C$4:$C$400,A79))</f>
        <v/>
      </c>
      <c r="N79" s="10" t="n"/>
    </row>
    <row r="80">
      <c r="A80" s="10" t="n"/>
      <c r="B80" s="10" t="n"/>
      <c r="C80" s="11">
        <f>IF(B80="","",IF(B80="Business broker","1 - Highest",IF(OR(B80="POS installer",B80="Bookkeeper / CPA"),"2 - High",IF(OR(B80="Liquor / food rep",B80="Consultant"),"3 - Strong",IF(B80="Other","5 - Other","4 - Good")))))</f>
        <v/>
      </c>
      <c r="D80" s="10" t="n"/>
      <c r="E80" s="10" t="n"/>
      <c r="F80" s="10" t="n"/>
      <c r="G80" s="10" t="n"/>
      <c r="H80" s="10" t="n"/>
      <c r="I80" s="10" t="n"/>
      <c r="J80" s="12" t="n"/>
      <c r="K80" s="10" t="n"/>
      <c r="L80" s="12" t="n"/>
      <c r="M80" s="11">
        <f>IF(A80="","",COUNTIF('Referral Log'!$C$4:$C$400,A80))</f>
        <v/>
      </c>
      <c r="N80" s="10" t="n"/>
    </row>
    <row r="81">
      <c r="A81" s="10" t="n"/>
      <c r="B81" s="10" t="n"/>
      <c r="C81" s="11">
        <f>IF(B81="","",IF(B81="Business broker","1 - Highest",IF(OR(B81="POS installer",B81="Bookkeeper / CPA"),"2 - High",IF(OR(B81="Liquor / food rep",B81="Consultant"),"3 - Strong",IF(B81="Other","5 - Other","4 - Good")))))</f>
        <v/>
      </c>
      <c r="D81" s="10" t="n"/>
      <c r="E81" s="10" t="n"/>
      <c r="F81" s="10" t="n"/>
      <c r="G81" s="10" t="n"/>
      <c r="H81" s="10" t="n"/>
      <c r="I81" s="10" t="n"/>
      <c r="J81" s="12" t="n"/>
      <c r="K81" s="10" t="n"/>
      <c r="L81" s="12" t="n"/>
      <c r="M81" s="11">
        <f>IF(A81="","",COUNTIF('Referral Log'!$C$4:$C$400,A81))</f>
        <v/>
      </c>
      <c r="N81" s="10" t="n"/>
    </row>
    <row r="82">
      <c r="A82" s="10" t="n"/>
      <c r="B82" s="10" t="n"/>
      <c r="C82" s="11">
        <f>IF(B82="","",IF(B82="Business broker","1 - Highest",IF(OR(B82="POS installer",B82="Bookkeeper / CPA"),"2 - High",IF(OR(B82="Liquor / food rep",B82="Consultant"),"3 - Strong",IF(B82="Other","5 - Other","4 - Good")))))</f>
        <v/>
      </c>
      <c r="D82" s="10" t="n"/>
      <c r="E82" s="10" t="n"/>
      <c r="F82" s="10" t="n"/>
      <c r="G82" s="10" t="n"/>
      <c r="H82" s="10" t="n"/>
      <c r="I82" s="10" t="n"/>
      <c r="J82" s="12" t="n"/>
      <c r="K82" s="10" t="n"/>
      <c r="L82" s="12" t="n"/>
      <c r="M82" s="11">
        <f>IF(A82="","",COUNTIF('Referral Log'!$C$4:$C$400,A82))</f>
        <v/>
      </c>
      <c r="N82" s="10" t="n"/>
    </row>
    <row r="83">
      <c r="A83" s="10" t="n"/>
      <c r="B83" s="10" t="n"/>
      <c r="C83" s="11">
        <f>IF(B83="","",IF(B83="Business broker","1 - Highest",IF(OR(B83="POS installer",B83="Bookkeeper / CPA"),"2 - High",IF(OR(B83="Liquor / food rep",B83="Consultant"),"3 - Strong",IF(B83="Other","5 - Other","4 - Good")))))</f>
        <v/>
      </c>
      <c r="D83" s="10" t="n"/>
      <c r="E83" s="10" t="n"/>
      <c r="F83" s="10" t="n"/>
      <c r="G83" s="10" t="n"/>
      <c r="H83" s="10" t="n"/>
      <c r="I83" s="10" t="n"/>
      <c r="J83" s="12" t="n"/>
      <c r="K83" s="10" t="n"/>
      <c r="L83" s="12" t="n"/>
      <c r="M83" s="11">
        <f>IF(A83="","",COUNTIF('Referral Log'!$C$4:$C$400,A83))</f>
        <v/>
      </c>
      <c r="N83" s="10" t="n"/>
    </row>
    <row r="84">
      <c r="A84" s="10" t="n"/>
      <c r="B84" s="10" t="n"/>
      <c r="C84" s="11">
        <f>IF(B84="","",IF(B84="Business broker","1 - Highest",IF(OR(B84="POS installer",B84="Bookkeeper / CPA"),"2 - High",IF(OR(B84="Liquor / food rep",B84="Consultant"),"3 - Strong",IF(B84="Other","5 - Other","4 - Good")))))</f>
        <v/>
      </c>
      <c r="D84" s="10" t="n"/>
      <c r="E84" s="10" t="n"/>
      <c r="F84" s="10" t="n"/>
      <c r="G84" s="10" t="n"/>
      <c r="H84" s="10" t="n"/>
      <c r="I84" s="10" t="n"/>
      <c r="J84" s="12" t="n"/>
      <c r="K84" s="10" t="n"/>
      <c r="L84" s="12" t="n"/>
      <c r="M84" s="11">
        <f>IF(A84="","",COUNTIF('Referral Log'!$C$4:$C$400,A84))</f>
        <v/>
      </c>
      <c r="N84" s="10" t="n"/>
    </row>
    <row r="85">
      <c r="A85" s="10" t="n"/>
      <c r="B85" s="10" t="n"/>
      <c r="C85" s="11">
        <f>IF(B85="","",IF(B85="Business broker","1 - Highest",IF(OR(B85="POS installer",B85="Bookkeeper / CPA"),"2 - High",IF(OR(B85="Liquor / food rep",B85="Consultant"),"3 - Strong",IF(B85="Other","5 - Other","4 - Good")))))</f>
        <v/>
      </c>
      <c r="D85" s="10" t="n"/>
      <c r="E85" s="10" t="n"/>
      <c r="F85" s="10" t="n"/>
      <c r="G85" s="10" t="n"/>
      <c r="H85" s="10" t="n"/>
      <c r="I85" s="10" t="n"/>
      <c r="J85" s="12" t="n"/>
      <c r="K85" s="10" t="n"/>
      <c r="L85" s="12" t="n"/>
      <c r="M85" s="11">
        <f>IF(A85="","",COUNTIF('Referral Log'!$C$4:$C$400,A85))</f>
        <v/>
      </c>
      <c r="N85" s="10" t="n"/>
    </row>
    <row r="86">
      <c r="A86" s="10" t="n"/>
      <c r="B86" s="10" t="n"/>
      <c r="C86" s="11">
        <f>IF(B86="","",IF(B86="Business broker","1 - Highest",IF(OR(B86="POS installer",B86="Bookkeeper / CPA"),"2 - High",IF(OR(B86="Liquor / food rep",B86="Consultant"),"3 - Strong",IF(B86="Other","5 - Other","4 - Good")))))</f>
        <v/>
      </c>
      <c r="D86" s="10" t="n"/>
      <c r="E86" s="10" t="n"/>
      <c r="F86" s="10" t="n"/>
      <c r="G86" s="10" t="n"/>
      <c r="H86" s="10" t="n"/>
      <c r="I86" s="10" t="n"/>
      <c r="J86" s="12" t="n"/>
      <c r="K86" s="10" t="n"/>
      <c r="L86" s="12" t="n"/>
      <c r="M86" s="11">
        <f>IF(A86="","",COUNTIF('Referral Log'!$C$4:$C$400,A86))</f>
        <v/>
      </c>
      <c r="N86" s="10" t="n"/>
    </row>
    <row r="87">
      <c r="A87" s="10" t="n"/>
      <c r="B87" s="10" t="n"/>
      <c r="C87" s="11">
        <f>IF(B87="","",IF(B87="Business broker","1 - Highest",IF(OR(B87="POS installer",B87="Bookkeeper / CPA"),"2 - High",IF(OR(B87="Liquor / food rep",B87="Consultant"),"3 - Strong",IF(B87="Other","5 - Other","4 - Good")))))</f>
        <v/>
      </c>
      <c r="D87" s="10" t="n"/>
      <c r="E87" s="10" t="n"/>
      <c r="F87" s="10" t="n"/>
      <c r="G87" s="10" t="n"/>
      <c r="H87" s="10" t="n"/>
      <c r="I87" s="10" t="n"/>
      <c r="J87" s="12" t="n"/>
      <c r="K87" s="10" t="n"/>
      <c r="L87" s="12" t="n"/>
      <c r="M87" s="11">
        <f>IF(A87="","",COUNTIF('Referral Log'!$C$4:$C$400,A87))</f>
        <v/>
      </c>
      <c r="N87" s="10" t="n"/>
    </row>
    <row r="88">
      <c r="A88" s="10" t="n"/>
      <c r="B88" s="10" t="n"/>
      <c r="C88" s="11">
        <f>IF(B88="","",IF(B88="Business broker","1 - Highest",IF(OR(B88="POS installer",B88="Bookkeeper / CPA"),"2 - High",IF(OR(B88="Liquor / food rep",B88="Consultant"),"3 - Strong",IF(B88="Other","5 - Other","4 - Good")))))</f>
        <v/>
      </c>
      <c r="D88" s="10" t="n"/>
      <c r="E88" s="10" t="n"/>
      <c r="F88" s="10" t="n"/>
      <c r="G88" s="10" t="n"/>
      <c r="H88" s="10" t="n"/>
      <c r="I88" s="10" t="n"/>
      <c r="J88" s="12" t="n"/>
      <c r="K88" s="10" t="n"/>
      <c r="L88" s="12" t="n"/>
      <c r="M88" s="11">
        <f>IF(A88="","",COUNTIF('Referral Log'!$C$4:$C$400,A88))</f>
        <v/>
      </c>
      <c r="N88" s="10" t="n"/>
    </row>
    <row r="89">
      <c r="A89" s="10" t="n"/>
      <c r="B89" s="10" t="n"/>
      <c r="C89" s="11">
        <f>IF(B89="","",IF(B89="Business broker","1 - Highest",IF(OR(B89="POS installer",B89="Bookkeeper / CPA"),"2 - High",IF(OR(B89="Liquor / food rep",B89="Consultant"),"3 - Strong",IF(B89="Other","5 - Other","4 - Good")))))</f>
        <v/>
      </c>
      <c r="D89" s="10" t="n"/>
      <c r="E89" s="10" t="n"/>
      <c r="F89" s="10" t="n"/>
      <c r="G89" s="10" t="n"/>
      <c r="H89" s="10" t="n"/>
      <c r="I89" s="10" t="n"/>
      <c r="J89" s="12" t="n"/>
      <c r="K89" s="10" t="n"/>
      <c r="L89" s="12" t="n"/>
      <c r="M89" s="11">
        <f>IF(A89="","",COUNTIF('Referral Log'!$C$4:$C$400,A89))</f>
        <v/>
      </c>
      <c r="N89" s="10" t="n"/>
    </row>
    <row r="90">
      <c r="A90" s="10" t="n"/>
      <c r="B90" s="10" t="n"/>
      <c r="C90" s="11">
        <f>IF(B90="","",IF(B90="Business broker","1 - Highest",IF(OR(B90="POS installer",B90="Bookkeeper / CPA"),"2 - High",IF(OR(B90="Liquor / food rep",B90="Consultant"),"3 - Strong",IF(B90="Other","5 - Other","4 - Good")))))</f>
        <v/>
      </c>
      <c r="D90" s="10" t="n"/>
      <c r="E90" s="10" t="n"/>
      <c r="F90" s="10" t="n"/>
      <c r="G90" s="10" t="n"/>
      <c r="H90" s="10" t="n"/>
      <c r="I90" s="10" t="n"/>
      <c r="J90" s="12" t="n"/>
      <c r="K90" s="10" t="n"/>
      <c r="L90" s="12" t="n"/>
      <c r="M90" s="11">
        <f>IF(A90="","",COUNTIF('Referral Log'!$C$4:$C$400,A90))</f>
        <v/>
      </c>
      <c r="N90" s="10" t="n"/>
    </row>
    <row r="91">
      <c r="A91" s="10" t="n"/>
      <c r="B91" s="10" t="n"/>
      <c r="C91" s="11">
        <f>IF(B91="","",IF(B91="Business broker","1 - Highest",IF(OR(B91="POS installer",B91="Bookkeeper / CPA"),"2 - High",IF(OR(B91="Liquor / food rep",B91="Consultant"),"3 - Strong",IF(B91="Other","5 - Other","4 - Good")))))</f>
        <v/>
      </c>
      <c r="D91" s="10" t="n"/>
      <c r="E91" s="10" t="n"/>
      <c r="F91" s="10" t="n"/>
      <c r="G91" s="10" t="n"/>
      <c r="H91" s="10" t="n"/>
      <c r="I91" s="10" t="n"/>
      <c r="J91" s="12" t="n"/>
      <c r="K91" s="10" t="n"/>
      <c r="L91" s="12" t="n"/>
      <c r="M91" s="11">
        <f>IF(A91="","",COUNTIF('Referral Log'!$C$4:$C$400,A91))</f>
        <v/>
      </c>
      <c r="N91" s="10" t="n"/>
    </row>
    <row r="92">
      <c r="A92" s="10" t="n"/>
      <c r="B92" s="10" t="n"/>
      <c r="C92" s="11">
        <f>IF(B92="","",IF(B92="Business broker","1 - Highest",IF(OR(B92="POS installer",B92="Bookkeeper / CPA"),"2 - High",IF(OR(B92="Liquor / food rep",B92="Consultant"),"3 - Strong",IF(B92="Other","5 - Other","4 - Good")))))</f>
        <v/>
      </c>
      <c r="D92" s="10" t="n"/>
      <c r="E92" s="10" t="n"/>
      <c r="F92" s="10" t="n"/>
      <c r="G92" s="10" t="n"/>
      <c r="H92" s="10" t="n"/>
      <c r="I92" s="10" t="n"/>
      <c r="J92" s="12" t="n"/>
      <c r="K92" s="10" t="n"/>
      <c r="L92" s="12" t="n"/>
      <c r="M92" s="11">
        <f>IF(A92="","",COUNTIF('Referral Log'!$C$4:$C$400,A92))</f>
        <v/>
      </c>
      <c r="N92" s="10" t="n"/>
    </row>
    <row r="93">
      <c r="A93" s="10" t="n"/>
      <c r="B93" s="10" t="n"/>
      <c r="C93" s="11">
        <f>IF(B93="","",IF(B93="Business broker","1 - Highest",IF(OR(B93="POS installer",B93="Bookkeeper / CPA"),"2 - High",IF(OR(B93="Liquor / food rep",B93="Consultant"),"3 - Strong",IF(B93="Other","5 - Other","4 - Good")))))</f>
        <v/>
      </c>
      <c r="D93" s="10" t="n"/>
      <c r="E93" s="10" t="n"/>
      <c r="F93" s="10" t="n"/>
      <c r="G93" s="10" t="n"/>
      <c r="H93" s="10" t="n"/>
      <c r="I93" s="10" t="n"/>
      <c r="J93" s="12" t="n"/>
      <c r="K93" s="10" t="n"/>
      <c r="L93" s="12" t="n"/>
      <c r="M93" s="11">
        <f>IF(A93="","",COUNTIF('Referral Log'!$C$4:$C$400,A93))</f>
        <v/>
      </c>
      <c r="N93" s="10" t="n"/>
    </row>
    <row r="94">
      <c r="A94" s="10" t="n"/>
      <c r="B94" s="10" t="n"/>
      <c r="C94" s="11">
        <f>IF(B94="","",IF(B94="Business broker","1 - Highest",IF(OR(B94="POS installer",B94="Bookkeeper / CPA"),"2 - High",IF(OR(B94="Liquor / food rep",B94="Consultant"),"3 - Strong",IF(B94="Other","5 - Other","4 - Good")))))</f>
        <v/>
      </c>
      <c r="D94" s="10" t="n"/>
      <c r="E94" s="10" t="n"/>
      <c r="F94" s="10" t="n"/>
      <c r="G94" s="10" t="n"/>
      <c r="H94" s="10" t="n"/>
      <c r="I94" s="10" t="n"/>
      <c r="J94" s="12" t="n"/>
      <c r="K94" s="10" t="n"/>
      <c r="L94" s="12" t="n"/>
      <c r="M94" s="11">
        <f>IF(A94="","",COUNTIF('Referral Log'!$C$4:$C$400,A94))</f>
        <v/>
      </c>
      <c r="N94" s="10" t="n"/>
    </row>
    <row r="95">
      <c r="A95" s="10" t="n"/>
      <c r="B95" s="10" t="n"/>
      <c r="C95" s="11">
        <f>IF(B95="","",IF(B95="Business broker","1 - Highest",IF(OR(B95="POS installer",B95="Bookkeeper / CPA"),"2 - High",IF(OR(B95="Liquor / food rep",B95="Consultant"),"3 - Strong",IF(B95="Other","5 - Other","4 - Good")))))</f>
        <v/>
      </c>
      <c r="D95" s="10" t="n"/>
      <c r="E95" s="10" t="n"/>
      <c r="F95" s="10" t="n"/>
      <c r="G95" s="10" t="n"/>
      <c r="H95" s="10" t="n"/>
      <c r="I95" s="10" t="n"/>
      <c r="J95" s="12" t="n"/>
      <c r="K95" s="10" t="n"/>
      <c r="L95" s="12" t="n"/>
      <c r="M95" s="11">
        <f>IF(A95="","",COUNTIF('Referral Log'!$C$4:$C$400,A95))</f>
        <v/>
      </c>
      <c r="N95" s="10" t="n"/>
    </row>
    <row r="96">
      <c r="A96" s="10" t="n"/>
      <c r="B96" s="10" t="n"/>
      <c r="C96" s="11">
        <f>IF(B96="","",IF(B96="Business broker","1 - Highest",IF(OR(B96="POS installer",B96="Bookkeeper / CPA"),"2 - High",IF(OR(B96="Liquor / food rep",B96="Consultant"),"3 - Strong",IF(B96="Other","5 - Other","4 - Good")))))</f>
        <v/>
      </c>
      <c r="D96" s="10" t="n"/>
      <c r="E96" s="10" t="n"/>
      <c r="F96" s="10" t="n"/>
      <c r="G96" s="10" t="n"/>
      <c r="H96" s="10" t="n"/>
      <c r="I96" s="10" t="n"/>
      <c r="J96" s="12" t="n"/>
      <c r="K96" s="10" t="n"/>
      <c r="L96" s="12" t="n"/>
      <c r="M96" s="11">
        <f>IF(A96="","",COUNTIF('Referral Log'!$C$4:$C$400,A96))</f>
        <v/>
      </c>
      <c r="N96" s="10" t="n"/>
    </row>
    <row r="97">
      <c r="A97" s="10" t="n"/>
      <c r="B97" s="10" t="n"/>
      <c r="C97" s="11">
        <f>IF(B97="","",IF(B97="Business broker","1 - Highest",IF(OR(B97="POS installer",B97="Bookkeeper / CPA"),"2 - High",IF(OR(B97="Liquor / food rep",B97="Consultant"),"3 - Strong",IF(B97="Other","5 - Other","4 - Good")))))</f>
        <v/>
      </c>
      <c r="D97" s="10" t="n"/>
      <c r="E97" s="10" t="n"/>
      <c r="F97" s="10" t="n"/>
      <c r="G97" s="10" t="n"/>
      <c r="H97" s="10" t="n"/>
      <c r="I97" s="10" t="n"/>
      <c r="J97" s="12" t="n"/>
      <c r="K97" s="10" t="n"/>
      <c r="L97" s="12" t="n"/>
      <c r="M97" s="11">
        <f>IF(A97="","",COUNTIF('Referral Log'!$C$4:$C$400,A97))</f>
        <v/>
      </c>
      <c r="N97" s="10" t="n"/>
    </row>
    <row r="98">
      <c r="A98" s="10" t="n"/>
      <c r="B98" s="10" t="n"/>
      <c r="C98" s="11">
        <f>IF(B98="","",IF(B98="Business broker","1 - Highest",IF(OR(B98="POS installer",B98="Bookkeeper / CPA"),"2 - High",IF(OR(B98="Liquor / food rep",B98="Consultant"),"3 - Strong",IF(B98="Other","5 - Other","4 - Good")))))</f>
        <v/>
      </c>
      <c r="D98" s="10" t="n"/>
      <c r="E98" s="10" t="n"/>
      <c r="F98" s="10" t="n"/>
      <c r="G98" s="10" t="n"/>
      <c r="H98" s="10" t="n"/>
      <c r="I98" s="10" t="n"/>
      <c r="J98" s="12" t="n"/>
      <c r="K98" s="10" t="n"/>
      <c r="L98" s="12" t="n"/>
      <c r="M98" s="11">
        <f>IF(A98="","",COUNTIF('Referral Log'!$C$4:$C$400,A98))</f>
        <v/>
      </c>
      <c r="N98" s="10" t="n"/>
    </row>
    <row r="99">
      <c r="A99" s="10" t="n"/>
      <c r="B99" s="10" t="n"/>
      <c r="C99" s="11">
        <f>IF(B99="","",IF(B99="Business broker","1 - Highest",IF(OR(B99="POS installer",B99="Bookkeeper / CPA"),"2 - High",IF(OR(B99="Liquor / food rep",B99="Consultant"),"3 - Strong",IF(B99="Other","5 - Other","4 - Good")))))</f>
        <v/>
      </c>
      <c r="D99" s="10" t="n"/>
      <c r="E99" s="10" t="n"/>
      <c r="F99" s="10" t="n"/>
      <c r="G99" s="10" t="n"/>
      <c r="H99" s="10" t="n"/>
      <c r="I99" s="10" t="n"/>
      <c r="J99" s="12" t="n"/>
      <c r="K99" s="10" t="n"/>
      <c r="L99" s="12" t="n"/>
      <c r="M99" s="11">
        <f>IF(A99="","",COUNTIF('Referral Log'!$C$4:$C$400,A99))</f>
        <v/>
      </c>
      <c r="N99" s="10" t="n"/>
    </row>
    <row r="100">
      <c r="A100" s="10" t="n"/>
      <c r="B100" s="10" t="n"/>
      <c r="C100" s="11">
        <f>IF(B100="","",IF(B100="Business broker","1 - Highest",IF(OR(B100="POS installer",B100="Bookkeeper / CPA"),"2 - High",IF(OR(B100="Liquor / food rep",B100="Consultant"),"3 - Strong",IF(B100="Other","5 - Other","4 - Good")))))</f>
        <v/>
      </c>
      <c r="D100" s="10" t="n"/>
      <c r="E100" s="10" t="n"/>
      <c r="F100" s="10" t="n"/>
      <c r="G100" s="10" t="n"/>
      <c r="H100" s="10" t="n"/>
      <c r="I100" s="10" t="n"/>
      <c r="J100" s="12" t="n"/>
      <c r="K100" s="10" t="n"/>
      <c r="L100" s="12" t="n"/>
      <c r="M100" s="11">
        <f>IF(A100="","",COUNTIF('Referral Log'!$C$4:$C$400,A100))</f>
        <v/>
      </c>
      <c r="N100" s="10" t="n"/>
    </row>
    <row r="101">
      <c r="A101" s="10" t="n"/>
      <c r="B101" s="10" t="n"/>
      <c r="C101" s="11">
        <f>IF(B101="","",IF(B101="Business broker","1 - Highest",IF(OR(B101="POS installer",B101="Bookkeeper / CPA"),"2 - High",IF(OR(B101="Liquor / food rep",B101="Consultant"),"3 - Strong",IF(B101="Other","5 - Other","4 - Good")))))</f>
        <v/>
      </c>
      <c r="D101" s="10" t="n"/>
      <c r="E101" s="10" t="n"/>
      <c r="F101" s="10" t="n"/>
      <c r="G101" s="10" t="n"/>
      <c r="H101" s="10" t="n"/>
      <c r="I101" s="10" t="n"/>
      <c r="J101" s="12" t="n"/>
      <c r="K101" s="10" t="n"/>
      <c r="L101" s="12" t="n"/>
      <c r="M101" s="11">
        <f>IF(A101="","",COUNTIF('Referral Log'!$C$4:$C$400,A101))</f>
        <v/>
      </c>
      <c r="N101" s="10" t="n"/>
    </row>
    <row r="102">
      <c r="A102" s="10" t="n"/>
      <c r="B102" s="10" t="n"/>
      <c r="C102" s="11">
        <f>IF(B102="","",IF(B102="Business broker","1 - Highest",IF(OR(B102="POS installer",B102="Bookkeeper / CPA"),"2 - High",IF(OR(B102="Liquor / food rep",B102="Consultant"),"3 - Strong",IF(B102="Other","5 - Other","4 - Good")))))</f>
        <v/>
      </c>
      <c r="D102" s="10" t="n"/>
      <c r="E102" s="10" t="n"/>
      <c r="F102" s="10" t="n"/>
      <c r="G102" s="10" t="n"/>
      <c r="H102" s="10" t="n"/>
      <c r="I102" s="10" t="n"/>
      <c r="J102" s="12" t="n"/>
      <c r="K102" s="10" t="n"/>
      <c r="L102" s="12" t="n"/>
      <c r="M102" s="11">
        <f>IF(A102="","",COUNTIF('Referral Log'!$C$4:$C$400,A102))</f>
        <v/>
      </c>
      <c r="N102" s="10" t="n"/>
    </row>
    <row r="103">
      <c r="A103" s="10" t="n"/>
      <c r="B103" s="10" t="n"/>
      <c r="C103" s="11">
        <f>IF(B103="","",IF(B103="Business broker","1 - Highest",IF(OR(B103="POS installer",B103="Bookkeeper / CPA"),"2 - High",IF(OR(B103="Liquor / food rep",B103="Consultant"),"3 - Strong",IF(B103="Other","5 - Other","4 - Good")))))</f>
        <v/>
      </c>
      <c r="D103" s="10" t="n"/>
      <c r="E103" s="10" t="n"/>
      <c r="F103" s="10" t="n"/>
      <c r="G103" s="10" t="n"/>
      <c r="H103" s="10" t="n"/>
      <c r="I103" s="10" t="n"/>
      <c r="J103" s="12" t="n"/>
      <c r="K103" s="10" t="n"/>
      <c r="L103" s="12" t="n"/>
      <c r="M103" s="11">
        <f>IF(A103="","",COUNTIF('Referral Log'!$C$4:$C$400,A103))</f>
        <v/>
      </c>
      <c r="N103" s="10" t="n"/>
    </row>
    <row r="104">
      <c r="A104" s="10" t="n"/>
      <c r="B104" s="10" t="n"/>
      <c r="C104" s="11">
        <f>IF(B104="","",IF(B104="Business broker","1 - Highest",IF(OR(B104="POS installer",B104="Bookkeeper / CPA"),"2 - High",IF(OR(B104="Liquor / food rep",B104="Consultant"),"3 - Strong",IF(B104="Other","5 - Other","4 - Good")))))</f>
        <v/>
      </c>
      <c r="D104" s="10" t="n"/>
      <c r="E104" s="10" t="n"/>
      <c r="F104" s="10" t="n"/>
      <c r="G104" s="10" t="n"/>
      <c r="H104" s="10" t="n"/>
      <c r="I104" s="10" t="n"/>
      <c r="J104" s="12" t="n"/>
      <c r="K104" s="10" t="n"/>
      <c r="L104" s="12" t="n"/>
      <c r="M104" s="11">
        <f>IF(A104="","",COUNTIF('Referral Log'!$C$4:$C$400,A104))</f>
        <v/>
      </c>
      <c r="N104" s="10" t="n"/>
    </row>
    <row r="105">
      <c r="A105" s="10" t="n"/>
      <c r="B105" s="10" t="n"/>
      <c r="C105" s="11">
        <f>IF(B105="","",IF(B105="Business broker","1 - Highest",IF(OR(B105="POS installer",B105="Bookkeeper / CPA"),"2 - High",IF(OR(B105="Liquor / food rep",B105="Consultant"),"3 - Strong",IF(B105="Other","5 - Other","4 - Good")))))</f>
        <v/>
      </c>
      <c r="D105" s="10" t="n"/>
      <c r="E105" s="10" t="n"/>
      <c r="F105" s="10" t="n"/>
      <c r="G105" s="10" t="n"/>
      <c r="H105" s="10" t="n"/>
      <c r="I105" s="10" t="n"/>
      <c r="J105" s="12" t="n"/>
      <c r="K105" s="10" t="n"/>
      <c r="L105" s="12" t="n"/>
      <c r="M105" s="11">
        <f>IF(A105="","",COUNTIF('Referral Log'!$C$4:$C$400,A105))</f>
        <v/>
      </c>
      <c r="N105" s="10" t="n"/>
    </row>
    <row r="106">
      <c r="A106" s="10" t="n"/>
      <c r="B106" s="10" t="n"/>
      <c r="C106" s="11">
        <f>IF(B106="","",IF(B106="Business broker","1 - Highest",IF(OR(B106="POS installer",B106="Bookkeeper / CPA"),"2 - High",IF(OR(B106="Liquor / food rep",B106="Consultant"),"3 - Strong",IF(B106="Other","5 - Other","4 - Good")))))</f>
        <v/>
      </c>
      <c r="D106" s="10" t="n"/>
      <c r="E106" s="10" t="n"/>
      <c r="F106" s="10" t="n"/>
      <c r="G106" s="10" t="n"/>
      <c r="H106" s="10" t="n"/>
      <c r="I106" s="10" t="n"/>
      <c r="J106" s="12" t="n"/>
      <c r="K106" s="10" t="n"/>
      <c r="L106" s="12" t="n"/>
      <c r="M106" s="11">
        <f>IF(A106="","",COUNTIF('Referral Log'!$C$4:$C$400,A106))</f>
        <v/>
      </c>
      <c r="N106" s="10" t="n"/>
    </row>
    <row r="107">
      <c r="A107" s="10" t="n"/>
      <c r="B107" s="10" t="n"/>
      <c r="C107" s="11">
        <f>IF(B107="","",IF(B107="Business broker","1 - Highest",IF(OR(B107="POS installer",B107="Bookkeeper / CPA"),"2 - High",IF(OR(B107="Liquor / food rep",B107="Consultant"),"3 - Strong",IF(B107="Other","5 - Other","4 - Good")))))</f>
        <v/>
      </c>
      <c r="D107" s="10" t="n"/>
      <c r="E107" s="10" t="n"/>
      <c r="F107" s="10" t="n"/>
      <c r="G107" s="10" t="n"/>
      <c r="H107" s="10" t="n"/>
      <c r="I107" s="10" t="n"/>
      <c r="J107" s="12" t="n"/>
      <c r="K107" s="10" t="n"/>
      <c r="L107" s="12" t="n"/>
      <c r="M107" s="11">
        <f>IF(A107="","",COUNTIF('Referral Log'!$C$4:$C$400,A107))</f>
        <v/>
      </c>
      <c r="N107" s="10" t="n"/>
    </row>
    <row r="108">
      <c r="A108" s="10" t="n"/>
      <c r="B108" s="10" t="n"/>
      <c r="C108" s="11">
        <f>IF(B108="","",IF(B108="Business broker","1 - Highest",IF(OR(B108="POS installer",B108="Bookkeeper / CPA"),"2 - High",IF(OR(B108="Liquor / food rep",B108="Consultant"),"3 - Strong",IF(B108="Other","5 - Other","4 - Good")))))</f>
        <v/>
      </c>
      <c r="D108" s="10" t="n"/>
      <c r="E108" s="10" t="n"/>
      <c r="F108" s="10" t="n"/>
      <c r="G108" s="10" t="n"/>
      <c r="H108" s="10" t="n"/>
      <c r="I108" s="10" t="n"/>
      <c r="J108" s="12" t="n"/>
      <c r="K108" s="10" t="n"/>
      <c r="L108" s="12" t="n"/>
      <c r="M108" s="11">
        <f>IF(A108="","",COUNTIF('Referral Log'!$C$4:$C$400,A108))</f>
        <v/>
      </c>
      <c r="N108" s="10" t="n"/>
    </row>
    <row r="109">
      <c r="A109" s="10" t="n"/>
      <c r="B109" s="10" t="n"/>
      <c r="C109" s="11">
        <f>IF(B109="","",IF(B109="Business broker","1 - Highest",IF(OR(B109="POS installer",B109="Bookkeeper / CPA"),"2 - High",IF(OR(B109="Liquor / food rep",B109="Consultant"),"3 - Strong",IF(B109="Other","5 - Other","4 - Good")))))</f>
        <v/>
      </c>
      <c r="D109" s="10" t="n"/>
      <c r="E109" s="10" t="n"/>
      <c r="F109" s="10" t="n"/>
      <c r="G109" s="10" t="n"/>
      <c r="H109" s="10" t="n"/>
      <c r="I109" s="10" t="n"/>
      <c r="J109" s="12" t="n"/>
      <c r="K109" s="10" t="n"/>
      <c r="L109" s="12" t="n"/>
      <c r="M109" s="11">
        <f>IF(A109="","",COUNTIF('Referral Log'!$C$4:$C$400,A109))</f>
        <v/>
      </c>
      <c r="N109" s="10" t="n"/>
    </row>
    <row r="110">
      <c r="A110" s="10" t="n"/>
      <c r="B110" s="10" t="n"/>
      <c r="C110" s="11">
        <f>IF(B110="","",IF(B110="Business broker","1 - Highest",IF(OR(B110="POS installer",B110="Bookkeeper / CPA"),"2 - High",IF(OR(B110="Liquor / food rep",B110="Consultant"),"3 - Strong",IF(B110="Other","5 - Other","4 - Good")))))</f>
        <v/>
      </c>
      <c r="D110" s="10" t="n"/>
      <c r="E110" s="10" t="n"/>
      <c r="F110" s="10" t="n"/>
      <c r="G110" s="10" t="n"/>
      <c r="H110" s="10" t="n"/>
      <c r="I110" s="10" t="n"/>
      <c r="J110" s="12" t="n"/>
      <c r="K110" s="10" t="n"/>
      <c r="L110" s="12" t="n"/>
      <c r="M110" s="11">
        <f>IF(A110="","",COUNTIF('Referral Log'!$C$4:$C$400,A110))</f>
        <v/>
      </c>
      <c r="N110" s="10" t="n"/>
    </row>
    <row r="111">
      <c r="A111" s="10" t="n"/>
      <c r="B111" s="10" t="n"/>
      <c r="C111" s="11">
        <f>IF(B111="","",IF(B111="Business broker","1 - Highest",IF(OR(B111="POS installer",B111="Bookkeeper / CPA"),"2 - High",IF(OR(B111="Liquor / food rep",B111="Consultant"),"3 - Strong",IF(B111="Other","5 - Other","4 - Good")))))</f>
        <v/>
      </c>
      <c r="D111" s="10" t="n"/>
      <c r="E111" s="10" t="n"/>
      <c r="F111" s="10" t="n"/>
      <c r="G111" s="10" t="n"/>
      <c r="H111" s="10" t="n"/>
      <c r="I111" s="10" t="n"/>
      <c r="J111" s="12" t="n"/>
      <c r="K111" s="10" t="n"/>
      <c r="L111" s="12" t="n"/>
      <c r="M111" s="11">
        <f>IF(A111="","",COUNTIF('Referral Log'!$C$4:$C$400,A111))</f>
        <v/>
      </c>
      <c r="N111" s="10" t="n"/>
    </row>
    <row r="112">
      <c r="A112" s="10" t="n"/>
      <c r="B112" s="10" t="n"/>
      <c r="C112" s="11">
        <f>IF(B112="","",IF(B112="Business broker","1 - Highest",IF(OR(B112="POS installer",B112="Bookkeeper / CPA"),"2 - High",IF(OR(B112="Liquor / food rep",B112="Consultant"),"3 - Strong",IF(B112="Other","5 - Other","4 - Good")))))</f>
        <v/>
      </c>
      <c r="D112" s="10" t="n"/>
      <c r="E112" s="10" t="n"/>
      <c r="F112" s="10" t="n"/>
      <c r="G112" s="10" t="n"/>
      <c r="H112" s="10" t="n"/>
      <c r="I112" s="10" t="n"/>
      <c r="J112" s="12" t="n"/>
      <c r="K112" s="10" t="n"/>
      <c r="L112" s="12" t="n"/>
      <c r="M112" s="11">
        <f>IF(A112="","",COUNTIF('Referral Log'!$C$4:$C$400,A112))</f>
        <v/>
      </c>
      <c r="N112" s="10" t="n"/>
    </row>
    <row r="113">
      <c r="A113" s="10" t="n"/>
      <c r="B113" s="10" t="n"/>
      <c r="C113" s="11">
        <f>IF(B113="","",IF(B113="Business broker","1 - Highest",IF(OR(B113="POS installer",B113="Bookkeeper / CPA"),"2 - High",IF(OR(B113="Liquor / food rep",B113="Consultant"),"3 - Strong",IF(B113="Other","5 - Other","4 - Good")))))</f>
        <v/>
      </c>
      <c r="D113" s="10" t="n"/>
      <c r="E113" s="10" t="n"/>
      <c r="F113" s="10" t="n"/>
      <c r="G113" s="10" t="n"/>
      <c r="H113" s="10" t="n"/>
      <c r="I113" s="10" t="n"/>
      <c r="J113" s="12" t="n"/>
      <c r="K113" s="10" t="n"/>
      <c r="L113" s="12" t="n"/>
      <c r="M113" s="11">
        <f>IF(A113="","",COUNTIF('Referral Log'!$C$4:$C$400,A113))</f>
        <v/>
      </c>
      <c r="N113" s="10" t="n"/>
    </row>
    <row r="114">
      <c r="A114" s="10" t="n"/>
      <c r="B114" s="10" t="n"/>
      <c r="C114" s="11">
        <f>IF(B114="","",IF(B114="Business broker","1 - Highest",IF(OR(B114="POS installer",B114="Bookkeeper / CPA"),"2 - High",IF(OR(B114="Liquor / food rep",B114="Consultant"),"3 - Strong",IF(B114="Other","5 - Other","4 - Good")))))</f>
        <v/>
      </c>
      <c r="D114" s="10" t="n"/>
      <c r="E114" s="10" t="n"/>
      <c r="F114" s="10" t="n"/>
      <c r="G114" s="10" t="n"/>
      <c r="H114" s="10" t="n"/>
      <c r="I114" s="10" t="n"/>
      <c r="J114" s="12" t="n"/>
      <c r="K114" s="10" t="n"/>
      <c r="L114" s="12" t="n"/>
      <c r="M114" s="11">
        <f>IF(A114="","",COUNTIF('Referral Log'!$C$4:$C$400,A114))</f>
        <v/>
      </c>
      <c r="N114" s="10" t="n"/>
    </row>
    <row r="115">
      <c r="A115" s="10" t="n"/>
      <c r="B115" s="10" t="n"/>
      <c r="C115" s="11">
        <f>IF(B115="","",IF(B115="Business broker","1 - Highest",IF(OR(B115="POS installer",B115="Bookkeeper / CPA"),"2 - High",IF(OR(B115="Liquor / food rep",B115="Consultant"),"3 - Strong",IF(B115="Other","5 - Other","4 - Good")))))</f>
        <v/>
      </c>
      <c r="D115" s="10" t="n"/>
      <c r="E115" s="10" t="n"/>
      <c r="F115" s="10" t="n"/>
      <c r="G115" s="10" t="n"/>
      <c r="H115" s="10" t="n"/>
      <c r="I115" s="10" t="n"/>
      <c r="J115" s="12" t="n"/>
      <c r="K115" s="10" t="n"/>
      <c r="L115" s="12" t="n"/>
      <c r="M115" s="11">
        <f>IF(A115="","",COUNTIF('Referral Log'!$C$4:$C$400,A115))</f>
        <v/>
      </c>
      <c r="N115" s="10" t="n"/>
    </row>
    <row r="116">
      <c r="A116" s="10" t="n"/>
      <c r="B116" s="10" t="n"/>
      <c r="C116" s="11">
        <f>IF(B116="","",IF(B116="Business broker","1 - Highest",IF(OR(B116="POS installer",B116="Bookkeeper / CPA"),"2 - High",IF(OR(B116="Liquor / food rep",B116="Consultant"),"3 - Strong",IF(B116="Other","5 - Other","4 - Good")))))</f>
        <v/>
      </c>
      <c r="D116" s="10" t="n"/>
      <c r="E116" s="10" t="n"/>
      <c r="F116" s="10" t="n"/>
      <c r="G116" s="10" t="n"/>
      <c r="H116" s="10" t="n"/>
      <c r="I116" s="10" t="n"/>
      <c r="J116" s="12" t="n"/>
      <c r="K116" s="10" t="n"/>
      <c r="L116" s="12" t="n"/>
      <c r="M116" s="11">
        <f>IF(A116="","",COUNTIF('Referral Log'!$C$4:$C$400,A116))</f>
        <v/>
      </c>
      <c r="N116" s="10" t="n"/>
    </row>
    <row r="117">
      <c r="A117" s="10" t="n"/>
      <c r="B117" s="10" t="n"/>
      <c r="C117" s="11">
        <f>IF(B117="","",IF(B117="Business broker","1 - Highest",IF(OR(B117="POS installer",B117="Bookkeeper / CPA"),"2 - High",IF(OR(B117="Liquor / food rep",B117="Consultant"),"3 - Strong",IF(B117="Other","5 - Other","4 - Good")))))</f>
        <v/>
      </c>
      <c r="D117" s="10" t="n"/>
      <c r="E117" s="10" t="n"/>
      <c r="F117" s="10" t="n"/>
      <c r="G117" s="10" t="n"/>
      <c r="H117" s="10" t="n"/>
      <c r="I117" s="10" t="n"/>
      <c r="J117" s="12" t="n"/>
      <c r="K117" s="10" t="n"/>
      <c r="L117" s="12" t="n"/>
      <c r="M117" s="11">
        <f>IF(A117="","",COUNTIF('Referral Log'!$C$4:$C$400,A117))</f>
        <v/>
      </c>
      <c r="N117" s="10" t="n"/>
    </row>
    <row r="118">
      <c r="A118" s="10" t="n"/>
      <c r="B118" s="10" t="n"/>
      <c r="C118" s="11">
        <f>IF(B118="","",IF(B118="Business broker","1 - Highest",IF(OR(B118="POS installer",B118="Bookkeeper / CPA"),"2 - High",IF(OR(B118="Liquor / food rep",B118="Consultant"),"3 - Strong",IF(B118="Other","5 - Other","4 - Good")))))</f>
        <v/>
      </c>
      <c r="D118" s="10" t="n"/>
      <c r="E118" s="10" t="n"/>
      <c r="F118" s="10" t="n"/>
      <c r="G118" s="10" t="n"/>
      <c r="H118" s="10" t="n"/>
      <c r="I118" s="10" t="n"/>
      <c r="J118" s="12" t="n"/>
      <c r="K118" s="10" t="n"/>
      <c r="L118" s="12" t="n"/>
      <c r="M118" s="11">
        <f>IF(A118="","",COUNTIF('Referral Log'!$C$4:$C$400,A118))</f>
        <v/>
      </c>
      <c r="N118" s="10" t="n"/>
    </row>
    <row r="119">
      <c r="A119" s="10" t="n"/>
      <c r="B119" s="10" t="n"/>
      <c r="C119" s="11">
        <f>IF(B119="","",IF(B119="Business broker","1 - Highest",IF(OR(B119="POS installer",B119="Bookkeeper / CPA"),"2 - High",IF(OR(B119="Liquor / food rep",B119="Consultant"),"3 - Strong",IF(B119="Other","5 - Other","4 - Good")))))</f>
        <v/>
      </c>
      <c r="D119" s="10" t="n"/>
      <c r="E119" s="10" t="n"/>
      <c r="F119" s="10" t="n"/>
      <c r="G119" s="10" t="n"/>
      <c r="H119" s="10" t="n"/>
      <c r="I119" s="10" t="n"/>
      <c r="J119" s="12" t="n"/>
      <c r="K119" s="10" t="n"/>
      <c r="L119" s="12" t="n"/>
      <c r="M119" s="11">
        <f>IF(A119="","",COUNTIF('Referral Log'!$C$4:$C$400,A119))</f>
        <v/>
      </c>
      <c r="N119" s="10" t="n"/>
    </row>
    <row r="120">
      <c r="A120" s="10" t="n"/>
      <c r="B120" s="10" t="n"/>
      <c r="C120" s="11">
        <f>IF(B120="","",IF(B120="Business broker","1 - Highest",IF(OR(B120="POS installer",B120="Bookkeeper / CPA"),"2 - High",IF(OR(B120="Liquor / food rep",B120="Consultant"),"3 - Strong",IF(B120="Other","5 - Other","4 - Good")))))</f>
        <v/>
      </c>
      <c r="D120" s="10" t="n"/>
      <c r="E120" s="10" t="n"/>
      <c r="F120" s="10" t="n"/>
      <c r="G120" s="10" t="n"/>
      <c r="H120" s="10" t="n"/>
      <c r="I120" s="10" t="n"/>
      <c r="J120" s="12" t="n"/>
      <c r="K120" s="10" t="n"/>
      <c r="L120" s="12" t="n"/>
      <c r="M120" s="11">
        <f>IF(A120="","",COUNTIF('Referral Log'!$C$4:$C$400,A120))</f>
        <v/>
      </c>
      <c r="N120" s="10" t="n"/>
    </row>
    <row r="121">
      <c r="A121" s="10" t="n"/>
      <c r="B121" s="10" t="n"/>
      <c r="C121" s="11">
        <f>IF(B121="","",IF(B121="Business broker","1 - Highest",IF(OR(B121="POS installer",B121="Bookkeeper / CPA"),"2 - High",IF(OR(B121="Liquor / food rep",B121="Consultant"),"3 - Strong",IF(B121="Other","5 - Other","4 - Good")))))</f>
        <v/>
      </c>
      <c r="D121" s="10" t="n"/>
      <c r="E121" s="10" t="n"/>
      <c r="F121" s="10" t="n"/>
      <c r="G121" s="10" t="n"/>
      <c r="H121" s="10" t="n"/>
      <c r="I121" s="10" t="n"/>
      <c r="J121" s="12" t="n"/>
      <c r="K121" s="10" t="n"/>
      <c r="L121" s="12" t="n"/>
      <c r="M121" s="11">
        <f>IF(A121="","",COUNTIF('Referral Log'!$C$4:$C$400,A121))</f>
        <v/>
      </c>
      <c r="N121" s="10" t="n"/>
    </row>
    <row r="122">
      <c r="A122" s="10" t="n"/>
      <c r="B122" s="10" t="n"/>
      <c r="C122" s="11">
        <f>IF(B122="","",IF(B122="Business broker","1 - Highest",IF(OR(B122="POS installer",B122="Bookkeeper / CPA"),"2 - High",IF(OR(B122="Liquor / food rep",B122="Consultant"),"3 - Strong",IF(B122="Other","5 - Other","4 - Good")))))</f>
        <v/>
      </c>
      <c r="D122" s="10" t="n"/>
      <c r="E122" s="10" t="n"/>
      <c r="F122" s="10" t="n"/>
      <c r="G122" s="10" t="n"/>
      <c r="H122" s="10" t="n"/>
      <c r="I122" s="10" t="n"/>
      <c r="J122" s="12" t="n"/>
      <c r="K122" s="10" t="n"/>
      <c r="L122" s="12" t="n"/>
      <c r="M122" s="11">
        <f>IF(A122="","",COUNTIF('Referral Log'!$C$4:$C$400,A122))</f>
        <v/>
      </c>
      <c r="N122" s="10" t="n"/>
    </row>
    <row r="123">
      <c r="A123" s="10" t="n"/>
      <c r="B123" s="10" t="n"/>
      <c r="C123" s="11">
        <f>IF(B123="","",IF(B123="Business broker","1 - Highest",IF(OR(B123="POS installer",B123="Bookkeeper / CPA"),"2 - High",IF(OR(B123="Liquor / food rep",B123="Consultant"),"3 - Strong",IF(B123="Other","5 - Other","4 - Good")))))</f>
        <v/>
      </c>
      <c r="D123" s="10" t="n"/>
      <c r="E123" s="10" t="n"/>
      <c r="F123" s="10" t="n"/>
      <c r="G123" s="10" t="n"/>
      <c r="H123" s="10" t="n"/>
      <c r="I123" s="10" t="n"/>
      <c r="J123" s="12" t="n"/>
      <c r="K123" s="10" t="n"/>
      <c r="L123" s="12" t="n"/>
      <c r="M123" s="11">
        <f>IF(A123="","",COUNTIF('Referral Log'!$C$4:$C$400,A123))</f>
        <v/>
      </c>
      <c r="N123" s="10" t="n"/>
    </row>
    <row r="124">
      <c r="A124" s="10" t="n"/>
      <c r="B124" s="10" t="n"/>
      <c r="C124" s="11">
        <f>IF(B124="","",IF(B124="Business broker","1 - Highest",IF(OR(B124="POS installer",B124="Bookkeeper / CPA"),"2 - High",IF(OR(B124="Liquor / food rep",B124="Consultant"),"3 - Strong",IF(B124="Other","5 - Other","4 - Good")))))</f>
        <v/>
      </c>
      <c r="D124" s="10" t="n"/>
      <c r="E124" s="10" t="n"/>
      <c r="F124" s="10" t="n"/>
      <c r="G124" s="10" t="n"/>
      <c r="H124" s="10" t="n"/>
      <c r="I124" s="10" t="n"/>
      <c r="J124" s="12" t="n"/>
      <c r="K124" s="10" t="n"/>
      <c r="L124" s="12" t="n"/>
      <c r="M124" s="11">
        <f>IF(A124="","",COUNTIF('Referral Log'!$C$4:$C$400,A124))</f>
        <v/>
      </c>
      <c r="N124" s="10" t="n"/>
    </row>
    <row r="125">
      <c r="A125" s="10" t="n"/>
      <c r="B125" s="10" t="n"/>
      <c r="C125" s="11">
        <f>IF(B125="","",IF(B125="Business broker","1 - Highest",IF(OR(B125="POS installer",B125="Bookkeeper / CPA"),"2 - High",IF(OR(B125="Liquor / food rep",B125="Consultant"),"3 - Strong",IF(B125="Other","5 - Other","4 - Good")))))</f>
        <v/>
      </c>
      <c r="D125" s="10" t="n"/>
      <c r="E125" s="10" t="n"/>
      <c r="F125" s="10" t="n"/>
      <c r="G125" s="10" t="n"/>
      <c r="H125" s="10" t="n"/>
      <c r="I125" s="10" t="n"/>
      <c r="J125" s="12" t="n"/>
      <c r="K125" s="10" t="n"/>
      <c r="L125" s="12" t="n"/>
      <c r="M125" s="11">
        <f>IF(A125="","",COUNTIF('Referral Log'!$C$4:$C$400,A125))</f>
        <v/>
      </c>
      <c r="N125" s="10" t="n"/>
    </row>
    <row r="126">
      <c r="A126" s="10" t="n"/>
      <c r="B126" s="10" t="n"/>
      <c r="C126" s="11">
        <f>IF(B126="","",IF(B126="Business broker","1 - Highest",IF(OR(B126="POS installer",B126="Bookkeeper / CPA"),"2 - High",IF(OR(B126="Liquor / food rep",B126="Consultant"),"3 - Strong",IF(B126="Other","5 - Other","4 - Good")))))</f>
        <v/>
      </c>
      <c r="D126" s="10" t="n"/>
      <c r="E126" s="10" t="n"/>
      <c r="F126" s="10" t="n"/>
      <c r="G126" s="10" t="n"/>
      <c r="H126" s="10" t="n"/>
      <c r="I126" s="10" t="n"/>
      <c r="J126" s="12" t="n"/>
      <c r="K126" s="10" t="n"/>
      <c r="L126" s="12" t="n"/>
      <c r="M126" s="11">
        <f>IF(A126="","",COUNTIF('Referral Log'!$C$4:$C$400,A126))</f>
        <v/>
      </c>
      <c r="N126" s="10" t="n"/>
    </row>
    <row r="127">
      <c r="A127" s="10" t="n"/>
      <c r="B127" s="10" t="n"/>
      <c r="C127" s="11">
        <f>IF(B127="","",IF(B127="Business broker","1 - Highest",IF(OR(B127="POS installer",B127="Bookkeeper / CPA"),"2 - High",IF(OR(B127="Liquor / food rep",B127="Consultant"),"3 - Strong",IF(B127="Other","5 - Other","4 - Good")))))</f>
        <v/>
      </c>
      <c r="D127" s="10" t="n"/>
      <c r="E127" s="10" t="n"/>
      <c r="F127" s="10" t="n"/>
      <c r="G127" s="10" t="n"/>
      <c r="H127" s="10" t="n"/>
      <c r="I127" s="10" t="n"/>
      <c r="J127" s="12" t="n"/>
      <c r="K127" s="10" t="n"/>
      <c r="L127" s="12" t="n"/>
      <c r="M127" s="11">
        <f>IF(A127="","",COUNTIF('Referral Log'!$C$4:$C$400,A127))</f>
        <v/>
      </c>
      <c r="N127" s="10" t="n"/>
    </row>
    <row r="128">
      <c r="A128" s="10" t="n"/>
      <c r="B128" s="10" t="n"/>
      <c r="C128" s="11">
        <f>IF(B128="","",IF(B128="Business broker","1 - Highest",IF(OR(B128="POS installer",B128="Bookkeeper / CPA"),"2 - High",IF(OR(B128="Liquor / food rep",B128="Consultant"),"3 - Strong",IF(B128="Other","5 - Other","4 - Good")))))</f>
        <v/>
      </c>
      <c r="D128" s="10" t="n"/>
      <c r="E128" s="10" t="n"/>
      <c r="F128" s="10" t="n"/>
      <c r="G128" s="10" t="n"/>
      <c r="H128" s="10" t="n"/>
      <c r="I128" s="10" t="n"/>
      <c r="J128" s="12" t="n"/>
      <c r="K128" s="10" t="n"/>
      <c r="L128" s="12" t="n"/>
      <c r="M128" s="11">
        <f>IF(A128="","",COUNTIF('Referral Log'!$C$4:$C$400,A128))</f>
        <v/>
      </c>
      <c r="N128" s="10" t="n"/>
    </row>
    <row r="129">
      <c r="A129" s="10" t="n"/>
      <c r="B129" s="10" t="n"/>
      <c r="C129" s="11">
        <f>IF(B129="","",IF(B129="Business broker","1 - Highest",IF(OR(B129="POS installer",B129="Bookkeeper / CPA"),"2 - High",IF(OR(B129="Liquor / food rep",B129="Consultant"),"3 - Strong",IF(B129="Other","5 - Other","4 - Good")))))</f>
        <v/>
      </c>
      <c r="D129" s="10" t="n"/>
      <c r="E129" s="10" t="n"/>
      <c r="F129" s="10" t="n"/>
      <c r="G129" s="10" t="n"/>
      <c r="H129" s="10" t="n"/>
      <c r="I129" s="10" t="n"/>
      <c r="J129" s="12" t="n"/>
      <c r="K129" s="10" t="n"/>
      <c r="L129" s="12" t="n"/>
      <c r="M129" s="11">
        <f>IF(A129="","",COUNTIF('Referral Log'!$C$4:$C$400,A129))</f>
        <v/>
      </c>
      <c r="N129" s="10" t="n"/>
    </row>
    <row r="130">
      <c r="A130" s="10" t="n"/>
      <c r="B130" s="10" t="n"/>
      <c r="C130" s="11">
        <f>IF(B130="","",IF(B130="Business broker","1 - Highest",IF(OR(B130="POS installer",B130="Bookkeeper / CPA"),"2 - High",IF(OR(B130="Liquor / food rep",B130="Consultant"),"3 - Strong",IF(B130="Other","5 - Other","4 - Good")))))</f>
        <v/>
      </c>
      <c r="D130" s="10" t="n"/>
      <c r="E130" s="10" t="n"/>
      <c r="F130" s="10" t="n"/>
      <c r="G130" s="10" t="n"/>
      <c r="H130" s="10" t="n"/>
      <c r="I130" s="10" t="n"/>
      <c r="J130" s="12" t="n"/>
      <c r="K130" s="10" t="n"/>
      <c r="L130" s="12" t="n"/>
      <c r="M130" s="11">
        <f>IF(A130="","",COUNTIF('Referral Log'!$C$4:$C$400,A130))</f>
        <v/>
      </c>
      <c r="N130" s="10" t="n"/>
    </row>
    <row r="131">
      <c r="A131" s="10" t="n"/>
      <c r="B131" s="10" t="n"/>
      <c r="C131" s="11">
        <f>IF(B131="","",IF(B131="Business broker","1 - Highest",IF(OR(B131="POS installer",B131="Bookkeeper / CPA"),"2 - High",IF(OR(B131="Liquor / food rep",B131="Consultant"),"3 - Strong",IF(B131="Other","5 - Other","4 - Good")))))</f>
        <v/>
      </c>
      <c r="D131" s="10" t="n"/>
      <c r="E131" s="10" t="n"/>
      <c r="F131" s="10" t="n"/>
      <c r="G131" s="10" t="n"/>
      <c r="H131" s="10" t="n"/>
      <c r="I131" s="10" t="n"/>
      <c r="J131" s="12" t="n"/>
      <c r="K131" s="10" t="n"/>
      <c r="L131" s="12" t="n"/>
      <c r="M131" s="11">
        <f>IF(A131="","",COUNTIF('Referral Log'!$C$4:$C$400,A131))</f>
        <v/>
      </c>
      <c r="N131" s="10" t="n"/>
    </row>
    <row r="132">
      <c r="A132" s="10" t="n"/>
      <c r="B132" s="10" t="n"/>
      <c r="C132" s="11">
        <f>IF(B132="","",IF(B132="Business broker","1 - Highest",IF(OR(B132="POS installer",B132="Bookkeeper / CPA"),"2 - High",IF(OR(B132="Liquor / food rep",B132="Consultant"),"3 - Strong",IF(B132="Other","5 - Other","4 - Good")))))</f>
        <v/>
      </c>
      <c r="D132" s="10" t="n"/>
      <c r="E132" s="10" t="n"/>
      <c r="F132" s="10" t="n"/>
      <c r="G132" s="10" t="n"/>
      <c r="H132" s="10" t="n"/>
      <c r="I132" s="10" t="n"/>
      <c r="J132" s="12" t="n"/>
      <c r="K132" s="10" t="n"/>
      <c r="L132" s="12" t="n"/>
      <c r="M132" s="11">
        <f>IF(A132="","",COUNTIF('Referral Log'!$C$4:$C$400,A132))</f>
        <v/>
      </c>
      <c r="N132" s="10" t="n"/>
    </row>
    <row r="133">
      <c r="A133" s="10" t="n"/>
      <c r="B133" s="10" t="n"/>
      <c r="C133" s="11">
        <f>IF(B133="","",IF(B133="Business broker","1 - Highest",IF(OR(B133="POS installer",B133="Bookkeeper / CPA"),"2 - High",IF(OR(B133="Liquor / food rep",B133="Consultant"),"3 - Strong",IF(B133="Other","5 - Other","4 - Good")))))</f>
        <v/>
      </c>
      <c r="D133" s="10" t="n"/>
      <c r="E133" s="10" t="n"/>
      <c r="F133" s="10" t="n"/>
      <c r="G133" s="10" t="n"/>
      <c r="H133" s="10" t="n"/>
      <c r="I133" s="10" t="n"/>
      <c r="J133" s="12" t="n"/>
      <c r="K133" s="10" t="n"/>
      <c r="L133" s="12" t="n"/>
      <c r="M133" s="11">
        <f>IF(A133="","",COUNTIF('Referral Log'!$C$4:$C$400,A133))</f>
        <v/>
      </c>
      <c r="N133" s="10" t="n"/>
    </row>
    <row r="134">
      <c r="A134" s="10" t="n"/>
      <c r="B134" s="10" t="n"/>
      <c r="C134" s="11">
        <f>IF(B134="","",IF(B134="Business broker","1 - Highest",IF(OR(B134="POS installer",B134="Bookkeeper / CPA"),"2 - High",IF(OR(B134="Liquor / food rep",B134="Consultant"),"3 - Strong",IF(B134="Other","5 - Other","4 - Good")))))</f>
        <v/>
      </c>
      <c r="D134" s="10" t="n"/>
      <c r="E134" s="10" t="n"/>
      <c r="F134" s="10" t="n"/>
      <c r="G134" s="10" t="n"/>
      <c r="H134" s="10" t="n"/>
      <c r="I134" s="10" t="n"/>
      <c r="J134" s="12" t="n"/>
      <c r="K134" s="10" t="n"/>
      <c r="L134" s="12" t="n"/>
      <c r="M134" s="11">
        <f>IF(A134="","",COUNTIF('Referral Log'!$C$4:$C$400,A134))</f>
        <v/>
      </c>
      <c r="N134" s="10" t="n"/>
    </row>
    <row r="135">
      <c r="A135" s="10" t="n"/>
      <c r="B135" s="10" t="n"/>
      <c r="C135" s="11">
        <f>IF(B135="","",IF(B135="Business broker","1 - Highest",IF(OR(B135="POS installer",B135="Bookkeeper / CPA"),"2 - High",IF(OR(B135="Liquor / food rep",B135="Consultant"),"3 - Strong",IF(B135="Other","5 - Other","4 - Good")))))</f>
        <v/>
      </c>
      <c r="D135" s="10" t="n"/>
      <c r="E135" s="10" t="n"/>
      <c r="F135" s="10" t="n"/>
      <c r="G135" s="10" t="n"/>
      <c r="H135" s="10" t="n"/>
      <c r="I135" s="10" t="n"/>
      <c r="J135" s="12" t="n"/>
      <c r="K135" s="10" t="n"/>
      <c r="L135" s="12" t="n"/>
      <c r="M135" s="11">
        <f>IF(A135="","",COUNTIF('Referral Log'!$C$4:$C$400,A135))</f>
        <v/>
      </c>
      <c r="N135" s="10" t="n"/>
    </row>
    <row r="136">
      <c r="A136" s="10" t="n"/>
      <c r="B136" s="10" t="n"/>
      <c r="C136" s="11">
        <f>IF(B136="","",IF(B136="Business broker","1 - Highest",IF(OR(B136="POS installer",B136="Bookkeeper / CPA"),"2 - High",IF(OR(B136="Liquor / food rep",B136="Consultant"),"3 - Strong",IF(B136="Other","5 - Other","4 - Good")))))</f>
        <v/>
      </c>
      <c r="D136" s="10" t="n"/>
      <c r="E136" s="10" t="n"/>
      <c r="F136" s="10" t="n"/>
      <c r="G136" s="10" t="n"/>
      <c r="H136" s="10" t="n"/>
      <c r="I136" s="10" t="n"/>
      <c r="J136" s="12" t="n"/>
      <c r="K136" s="10" t="n"/>
      <c r="L136" s="12" t="n"/>
      <c r="M136" s="11">
        <f>IF(A136="","",COUNTIF('Referral Log'!$C$4:$C$400,A136))</f>
        <v/>
      </c>
      <c r="N136" s="10" t="n"/>
    </row>
    <row r="137">
      <c r="A137" s="10" t="n"/>
      <c r="B137" s="10" t="n"/>
      <c r="C137" s="11">
        <f>IF(B137="","",IF(B137="Business broker","1 - Highest",IF(OR(B137="POS installer",B137="Bookkeeper / CPA"),"2 - High",IF(OR(B137="Liquor / food rep",B137="Consultant"),"3 - Strong",IF(B137="Other","5 - Other","4 - Good")))))</f>
        <v/>
      </c>
      <c r="D137" s="10" t="n"/>
      <c r="E137" s="10" t="n"/>
      <c r="F137" s="10" t="n"/>
      <c r="G137" s="10" t="n"/>
      <c r="H137" s="10" t="n"/>
      <c r="I137" s="10" t="n"/>
      <c r="J137" s="12" t="n"/>
      <c r="K137" s="10" t="n"/>
      <c r="L137" s="12" t="n"/>
      <c r="M137" s="11">
        <f>IF(A137="","",COUNTIF('Referral Log'!$C$4:$C$400,A137))</f>
        <v/>
      </c>
      <c r="N137" s="10" t="n"/>
    </row>
    <row r="138">
      <c r="A138" s="10" t="n"/>
      <c r="B138" s="10" t="n"/>
      <c r="C138" s="11">
        <f>IF(B138="","",IF(B138="Business broker","1 - Highest",IF(OR(B138="POS installer",B138="Bookkeeper / CPA"),"2 - High",IF(OR(B138="Liquor / food rep",B138="Consultant"),"3 - Strong",IF(B138="Other","5 - Other","4 - Good")))))</f>
        <v/>
      </c>
      <c r="D138" s="10" t="n"/>
      <c r="E138" s="10" t="n"/>
      <c r="F138" s="10" t="n"/>
      <c r="G138" s="10" t="n"/>
      <c r="H138" s="10" t="n"/>
      <c r="I138" s="10" t="n"/>
      <c r="J138" s="12" t="n"/>
      <c r="K138" s="10" t="n"/>
      <c r="L138" s="12" t="n"/>
      <c r="M138" s="11">
        <f>IF(A138="","",COUNTIF('Referral Log'!$C$4:$C$400,A138))</f>
        <v/>
      </c>
      <c r="N138" s="10" t="n"/>
    </row>
    <row r="139">
      <c r="A139" s="10" t="n"/>
      <c r="B139" s="10" t="n"/>
      <c r="C139" s="11">
        <f>IF(B139="","",IF(B139="Business broker","1 - Highest",IF(OR(B139="POS installer",B139="Bookkeeper / CPA"),"2 - High",IF(OR(B139="Liquor / food rep",B139="Consultant"),"3 - Strong",IF(B139="Other","5 - Other","4 - Good")))))</f>
        <v/>
      </c>
      <c r="D139" s="10" t="n"/>
      <c r="E139" s="10" t="n"/>
      <c r="F139" s="10" t="n"/>
      <c r="G139" s="10" t="n"/>
      <c r="H139" s="10" t="n"/>
      <c r="I139" s="10" t="n"/>
      <c r="J139" s="12" t="n"/>
      <c r="K139" s="10" t="n"/>
      <c r="L139" s="12" t="n"/>
      <c r="M139" s="11">
        <f>IF(A139="","",COUNTIF('Referral Log'!$C$4:$C$400,A139))</f>
        <v/>
      </c>
      <c r="N139" s="10" t="n"/>
    </row>
    <row r="140">
      <c r="A140" s="10" t="n"/>
      <c r="B140" s="10" t="n"/>
      <c r="C140" s="11">
        <f>IF(B140="","",IF(B140="Business broker","1 - Highest",IF(OR(B140="POS installer",B140="Bookkeeper / CPA"),"2 - High",IF(OR(B140="Liquor / food rep",B140="Consultant"),"3 - Strong",IF(B140="Other","5 - Other","4 - Good")))))</f>
        <v/>
      </c>
      <c r="D140" s="10" t="n"/>
      <c r="E140" s="10" t="n"/>
      <c r="F140" s="10" t="n"/>
      <c r="G140" s="10" t="n"/>
      <c r="H140" s="10" t="n"/>
      <c r="I140" s="10" t="n"/>
      <c r="J140" s="12" t="n"/>
      <c r="K140" s="10" t="n"/>
      <c r="L140" s="12" t="n"/>
      <c r="M140" s="11">
        <f>IF(A140="","",COUNTIF('Referral Log'!$C$4:$C$400,A140))</f>
        <v/>
      </c>
      <c r="N140" s="10" t="n"/>
    </row>
    <row r="141">
      <c r="A141" s="10" t="n"/>
      <c r="B141" s="10" t="n"/>
      <c r="C141" s="11">
        <f>IF(B141="","",IF(B141="Business broker","1 - Highest",IF(OR(B141="POS installer",B141="Bookkeeper / CPA"),"2 - High",IF(OR(B141="Liquor / food rep",B141="Consultant"),"3 - Strong",IF(B141="Other","5 - Other","4 - Good")))))</f>
        <v/>
      </c>
      <c r="D141" s="10" t="n"/>
      <c r="E141" s="10" t="n"/>
      <c r="F141" s="10" t="n"/>
      <c r="G141" s="10" t="n"/>
      <c r="H141" s="10" t="n"/>
      <c r="I141" s="10" t="n"/>
      <c r="J141" s="12" t="n"/>
      <c r="K141" s="10" t="n"/>
      <c r="L141" s="12" t="n"/>
      <c r="M141" s="11">
        <f>IF(A141="","",COUNTIF('Referral Log'!$C$4:$C$400,A141))</f>
        <v/>
      </c>
      <c r="N141" s="10" t="n"/>
    </row>
    <row r="142">
      <c r="A142" s="10" t="n"/>
      <c r="B142" s="10" t="n"/>
      <c r="C142" s="11">
        <f>IF(B142="","",IF(B142="Business broker","1 - Highest",IF(OR(B142="POS installer",B142="Bookkeeper / CPA"),"2 - High",IF(OR(B142="Liquor / food rep",B142="Consultant"),"3 - Strong",IF(B142="Other","5 - Other","4 - Good")))))</f>
        <v/>
      </c>
      <c r="D142" s="10" t="n"/>
      <c r="E142" s="10" t="n"/>
      <c r="F142" s="10" t="n"/>
      <c r="G142" s="10" t="n"/>
      <c r="H142" s="10" t="n"/>
      <c r="I142" s="10" t="n"/>
      <c r="J142" s="12" t="n"/>
      <c r="K142" s="10" t="n"/>
      <c r="L142" s="12" t="n"/>
      <c r="M142" s="11">
        <f>IF(A142="","",COUNTIF('Referral Log'!$C$4:$C$400,A142))</f>
        <v/>
      </c>
      <c r="N142" s="10" t="n"/>
    </row>
    <row r="143">
      <c r="A143" s="10" t="n"/>
      <c r="B143" s="10" t="n"/>
      <c r="C143" s="11">
        <f>IF(B143="","",IF(B143="Business broker","1 - Highest",IF(OR(B143="POS installer",B143="Bookkeeper / CPA"),"2 - High",IF(OR(B143="Liquor / food rep",B143="Consultant"),"3 - Strong",IF(B143="Other","5 - Other","4 - Good")))))</f>
        <v/>
      </c>
      <c r="D143" s="10" t="n"/>
      <c r="E143" s="10" t="n"/>
      <c r="F143" s="10" t="n"/>
      <c r="G143" s="10" t="n"/>
      <c r="H143" s="10" t="n"/>
      <c r="I143" s="10" t="n"/>
      <c r="J143" s="12" t="n"/>
      <c r="K143" s="10" t="n"/>
      <c r="L143" s="12" t="n"/>
      <c r="M143" s="11">
        <f>IF(A143="","",COUNTIF('Referral Log'!$C$4:$C$400,A143))</f>
        <v/>
      </c>
      <c r="N143" s="10" t="n"/>
    </row>
    <row r="144">
      <c r="A144" s="10" t="n"/>
      <c r="B144" s="10" t="n"/>
      <c r="C144" s="11">
        <f>IF(B144="","",IF(B144="Business broker","1 - Highest",IF(OR(B144="POS installer",B144="Bookkeeper / CPA"),"2 - High",IF(OR(B144="Liquor / food rep",B144="Consultant"),"3 - Strong",IF(B144="Other","5 - Other","4 - Good")))))</f>
        <v/>
      </c>
      <c r="D144" s="10" t="n"/>
      <c r="E144" s="10" t="n"/>
      <c r="F144" s="10" t="n"/>
      <c r="G144" s="10" t="n"/>
      <c r="H144" s="10" t="n"/>
      <c r="I144" s="10" t="n"/>
      <c r="J144" s="12" t="n"/>
      <c r="K144" s="10" t="n"/>
      <c r="L144" s="12" t="n"/>
      <c r="M144" s="11">
        <f>IF(A144="","",COUNTIF('Referral Log'!$C$4:$C$400,A144))</f>
        <v/>
      </c>
      <c r="N144" s="10" t="n"/>
    </row>
    <row r="145">
      <c r="A145" s="10" t="n"/>
      <c r="B145" s="10" t="n"/>
      <c r="C145" s="11">
        <f>IF(B145="","",IF(B145="Business broker","1 - Highest",IF(OR(B145="POS installer",B145="Bookkeeper / CPA"),"2 - High",IF(OR(B145="Liquor / food rep",B145="Consultant"),"3 - Strong",IF(B145="Other","5 - Other","4 - Good")))))</f>
        <v/>
      </c>
      <c r="D145" s="10" t="n"/>
      <c r="E145" s="10" t="n"/>
      <c r="F145" s="10" t="n"/>
      <c r="G145" s="10" t="n"/>
      <c r="H145" s="10" t="n"/>
      <c r="I145" s="10" t="n"/>
      <c r="J145" s="12" t="n"/>
      <c r="K145" s="10" t="n"/>
      <c r="L145" s="12" t="n"/>
      <c r="M145" s="11">
        <f>IF(A145="","",COUNTIF('Referral Log'!$C$4:$C$400,A145))</f>
        <v/>
      </c>
      <c r="N145" s="10" t="n"/>
    </row>
    <row r="146">
      <c r="A146" s="10" t="n"/>
      <c r="B146" s="10" t="n"/>
      <c r="C146" s="11">
        <f>IF(B146="","",IF(B146="Business broker","1 - Highest",IF(OR(B146="POS installer",B146="Bookkeeper / CPA"),"2 - High",IF(OR(B146="Liquor / food rep",B146="Consultant"),"3 - Strong",IF(B146="Other","5 - Other","4 - Good")))))</f>
        <v/>
      </c>
      <c r="D146" s="10" t="n"/>
      <c r="E146" s="10" t="n"/>
      <c r="F146" s="10" t="n"/>
      <c r="G146" s="10" t="n"/>
      <c r="H146" s="10" t="n"/>
      <c r="I146" s="10" t="n"/>
      <c r="J146" s="12" t="n"/>
      <c r="K146" s="10" t="n"/>
      <c r="L146" s="12" t="n"/>
      <c r="M146" s="11">
        <f>IF(A146="","",COUNTIF('Referral Log'!$C$4:$C$400,A146))</f>
        <v/>
      </c>
      <c r="N146" s="10" t="n"/>
    </row>
    <row r="147">
      <c r="A147" s="10" t="n"/>
      <c r="B147" s="10" t="n"/>
      <c r="C147" s="11">
        <f>IF(B147="","",IF(B147="Business broker","1 - Highest",IF(OR(B147="POS installer",B147="Bookkeeper / CPA"),"2 - High",IF(OR(B147="Liquor / food rep",B147="Consultant"),"3 - Strong",IF(B147="Other","5 - Other","4 - Good")))))</f>
        <v/>
      </c>
      <c r="D147" s="10" t="n"/>
      <c r="E147" s="10" t="n"/>
      <c r="F147" s="10" t="n"/>
      <c r="G147" s="10" t="n"/>
      <c r="H147" s="10" t="n"/>
      <c r="I147" s="10" t="n"/>
      <c r="J147" s="12" t="n"/>
      <c r="K147" s="10" t="n"/>
      <c r="L147" s="12" t="n"/>
      <c r="M147" s="11">
        <f>IF(A147="","",COUNTIF('Referral Log'!$C$4:$C$400,A147))</f>
        <v/>
      </c>
      <c r="N147" s="10" t="n"/>
    </row>
    <row r="148">
      <c r="A148" s="10" t="n"/>
      <c r="B148" s="10" t="n"/>
      <c r="C148" s="11">
        <f>IF(B148="","",IF(B148="Business broker","1 - Highest",IF(OR(B148="POS installer",B148="Bookkeeper / CPA"),"2 - High",IF(OR(B148="Liquor / food rep",B148="Consultant"),"3 - Strong",IF(B148="Other","5 - Other","4 - Good")))))</f>
        <v/>
      </c>
      <c r="D148" s="10" t="n"/>
      <c r="E148" s="10" t="n"/>
      <c r="F148" s="10" t="n"/>
      <c r="G148" s="10" t="n"/>
      <c r="H148" s="10" t="n"/>
      <c r="I148" s="10" t="n"/>
      <c r="J148" s="12" t="n"/>
      <c r="K148" s="10" t="n"/>
      <c r="L148" s="12" t="n"/>
      <c r="M148" s="11">
        <f>IF(A148="","",COUNTIF('Referral Log'!$C$4:$C$400,A148))</f>
        <v/>
      </c>
      <c r="N148" s="10" t="n"/>
    </row>
    <row r="149">
      <c r="A149" s="10" t="n"/>
      <c r="B149" s="10" t="n"/>
      <c r="C149" s="11">
        <f>IF(B149="","",IF(B149="Business broker","1 - Highest",IF(OR(B149="POS installer",B149="Bookkeeper / CPA"),"2 - High",IF(OR(B149="Liquor / food rep",B149="Consultant"),"3 - Strong",IF(B149="Other","5 - Other","4 - Good")))))</f>
        <v/>
      </c>
      <c r="D149" s="10" t="n"/>
      <c r="E149" s="10" t="n"/>
      <c r="F149" s="10" t="n"/>
      <c r="G149" s="10" t="n"/>
      <c r="H149" s="10" t="n"/>
      <c r="I149" s="10" t="n"/>
      <c r="J149" s="12" t="n"/>
      <c r="K149" s="10" t="n"/>
      <c r="L149" s="12" t="n"/>
      <c r="M149" s="11">
        <f>IF(A149="","",COUNTIF('Referral Log'!$C$4:$C$400,A149))</f>
        <v/>
      </c>
      <c r="N149" s="10" t="n"/>
    </row>
    <row r="150">
      <c r="A150" s="10" t="n"/>
      <c r="B150" s="10" t="n"/>
      <c r="C150" s="11">
        <f>IF(B150="","",IF(B150="Business broker","1 - Highest",IF(OR(B150="POS installer",B150="Bookkeeper / CPA"),"2 - High",IF(OR(B150="Liquor / food rep",B150="Consultant"),"3 - Strong",IF(B150="Other","5 - Other","4 - Good")))))</f>
        <v/>
      </c>
      <c r="D150" s="10" t="n"/>
      <c r="E150" s="10" t="n"/>
      <c r="F150" s="10" t="n"/>
      <c r="G150" s="10" t="n"/>
      <c r="H150" s="10" t="n"/>
      <c r="I150" s="10" t="n"/>
      <c r="J150" s="12" t="n"/>
      <c r="K150" s="10" t="n"/>
      <c r="L150" s="12" t="n"/>
      <c r="M150" s="11">
        <f>IF(A150="","",COUNTIF('Referral Log'!$C$4:$C$400,A150))</f>
        <v/>
      </c>
      <c r="N150" s="10" t="n"/>
    </row>
    <row r="151">
      <c r="A151" s="10" t="n"/>
      <c r="B151" s="10" t="n"/>
      <c r="C151" s="11">
        <f>IF(B151="","",IF(B151="Business broker","1 - Highest",IF(OR(B151="POS installer",B151="Bookkeeper / CPA"),"2 - High",IF(OR(B151="Liquor / food rep",B151="Consultant"),"3 - Strong",IF(B151="Other","5 - Other","4 - Good")))))</f>
        <v/>
      </c>
      <c r="D151" s="10" t="n"/>
      <c r="E151" s="10" t="n"/>
      <c r="F151" s="10" t="n"/>
      <c r="G151" s="10" t="n"/>
      <c r="H151" s="10" t="n"/>
      <c r="I151" s="10" t="n"/>
      <c r="J151" s="12" t="n"/>
      <c r="K151" s="10" t="n"/>
      <c r="L151" s="12" t="n"/>
      <c r="M151" s="11">
        <f>IF(A151="","",COUNTIF('Referral Log'!$C$4:$C$400,A151))</f>
        <v/>
      </c>
      <c r="N151" s="10" t="n"/>
    </row>
    <row r="152">
      <c r="A152" s="10" t="n"/>
      <c r="B152" s="10" t="n"/>
      <c r="C152" s="11">
        <f>IF(B152="","",IF(B152="Business broker","1 - Highest",IF(OR(B152="POS installer",B152="Bookkeeper / CPA"),"2 - High",IF(OR(B152="Liquor / food rep",B152="Consultant"),"3 - Strong",IF(B152="Other","5 - Other","4 - Good")))))</f>
        <v/>
      </c>
      <c r="D152" s="10" t="n"/>
      <c r="E152" s="10" t="n"/>
      <c r="F152" s="10" t="n"/>
      <c r="G152" s="10" t="n"/>
      <c r="H152" s="10" t="n"/>
      <c r="I152" s="10" t="n"/>
      <c r="J152" s="12" t="n"/>
      <c r="K152" s="10" t="n"/>
      <c r="L152" s="12" t="n"/>
      <c r="M152" s="11">
        <f>IF(A152="","",COUNTIF('Referral Log'!$C$4:$C$400,A152))</f>
        <v/>
      </c>
      <c r="N152" s="10" t="n"/>
    </row>
    <row r="153">
      <c r="A153" s="10" t="n"/>
      <c r="B153" s="10" t="n"/>
      <c r="C153" s="11">
        <f>IF(B153="","",IF(B153="Business broker","1 - Highest",IF(OR(B153="POS installer",B153="Bookkeeper / CPA"),"2 - High",IF(OR(B153="Liquor / food rep",B153="Consultant"),"3 - Strong",IF(B153="Other","5 - Other","4 - Good")))))</f>
        <v/>
      </c>
      <c r="D153" s="10" t="n"/>
      <c r="E153" s="10" t="n"/>
      <c r="F153" s="10" t="n"/>
      <c r="G153" s="10" t="n"/>
      <c r="H153" s="10" t="n"/>
      <c r="I153" s="10" t="n"/>
      <c r="J153" s="12" t="n"/>
      <c r="K153" s="10" t="n"/>
      <c r="L153" s="12" t="n"/>
      <c r="M153" s="11">
        <f>IF(A153="","",COUNTIF('Referral Log'!$C$4:$C$400,A153))</f>
        <v/>
      </c>
      <c r="N153" s="10" t="n"/>
    </row>
    <row r="154">
      <c r="A154" s="10" t="n"/>
      <c r="B154" s="10" t="n"/>
      <c r="C154" s="11">
        <f>IF(B154="","",IF(B154="Business broker","1 - Highest",IF(OR(B154="POS installer",B154="Bookkeeper / CPA"),"2 - High",IF(OR(B154="Liquor / food rep",B154="Consultant"),"3 - Strong",IF(B154="Other","5 - Other","4 - Good")))))</f>
        <v/>
      </c>
      <c r="D154" s="10" t="n"/>
      <c r="E154" s="10" t="n"/>
      <c r="F154" s="10" t="n"/>
      <c r="G154" s="10" t="n"/>
      <c r="H154" s="10" t="n"/>
      <c r="I154" s="10" t="n"/>
      <c r="J154" s="12" t="n"/>
      <c r="K154" s="10" t="n"/>
      <c r="L154" s="12" t="n"/>
      <c r="M154" s="11">
        <f>IF(A154="","",COUNTIF('Referral Log'!$C$4:$C$400,A154))</f>
        <v/>
      </c>
      <c r="N154" s="10" t="n"/>
    </row>
    <row r="155">
      <c r="A155" s="10" t="n"/>
      <c r="B155" s="10" t="n"/>
      <c r="C155" s="11">
        <f>IF(B155="","",IF(B155="Business broker","1 - Highest",IF(OR(B155="POS installer",B155="Bookkeeper / CPA"),"2 - High",IF(OR(B155="Liquor / food rep",B155="Consultant"),"3 - Strong",IF(B155="Other","5 - Other","4 - Good")))))</f>
        <v/>
      </c>
      <c r="D155" s="10" t="n"/>
      <c r="E155" s="10" t="n"/>
      <c r="F155" s="10" t="n"/>
      <c r="G155" s="10" t="n"/>
      <c r="H155" s="10" t="n"/>
      <c r="I155" s="10" t="n"/>
      <c r="J155" s="12" t="n"/>
      <c r="K155" s="10" t="n"/>
      <c r="L155" s="12" t="n"/>
      <c r="M155" s="11">
        <f>IF(A155="","",COUNTIF('Referral Log'!$C$4:$C$400,A155))</f>
        <v/>
      </c>
      <c r="N155" s="10" t="n"/>
    </row>
    <row r="156">
      <c r="A156" s="10" t="n"/>
      <c r="B156" s="10" t="n"/>
      <c r="C156" s="11">
        <f>IF(B156="","",IF(B156="Business broker","1 - Highest",IF(OR(B156="POS installer",B156="Bookkeeper / CPA"),"2 - High",IF(OR(B156="Liquor / food rep",B156="Consultant"),"3 - Strong",IF(B156="Other","5 - Other","4 - Good")))))</f>
        <v/>
      </c>
      <c r="D156" s="10" t="n"/>
      <c r="E156" s="10" t="n"/>
      <c r="F156" s="10" t="n"/>
      <c r="G156" s="10" t="n"/>
      <c r="H156" s="10" t="n"/>
      <c r="I156" s="10" t="n"/>
      <c r="J156" s="12" t="n"/>
      <c r="K156" s="10" t="n"/>
      <c r="L156" s="12" t="n"/>
      <c r="M156" s="11">
        <f>IF(A156="","",COUNTIF('Referral Log'!$C$4:$C$400,A156))</f>
        <v/>
      </c>
      <c r="N156" s="10" t="n"/>
    </row>
    <row r="157">
      <c r="A157" s="10" t="n"/>
      <c r="B157" s="10" t="n"/>
      <c r="C157" s="11">
        <f>IF(B157="","",IF(B157="Business broker","1 - Highest",IF(OR(B157="POS installer",B157="Bookkeeper / CPA"),"2 - High",IF(OR(B157="Liquor / food rep",B157="Consultant"),"3 - Strong",IF(B157="Other","5 - Other","4 - Good")))))</f>
        <v/>
      </c>
      <c r="D157" s="10" t="n"/>
      <c r="E157" s="10" t="n"/>
      <c r="F157" s="10" t="n"/>
      <c r="G157" s="10" t="n"/>
      <c r="H157" s="10" t="n"/>
      <c r="I157" s="10" t="n"/>
      <c r="J157" s="12" t="n"/>
      <c r="K157" s="10" t="n"/>
      <c r="L157" s="12" t="n"/>
      <c r="M157" s="11">
        <f>IF(A157="","",COUNTIF('Referral Log'!$C$4:$C$400,A157))</f>
        <v/>
      </c>
      <c r="N157" s="10" t="n"/>
    </row>
    <row r="158">
      <c r="A158" s="10" t="n"/>
      <c r="B158" s="10" t="n"/>
      <c r="C158" s="11">
        <f>IF(B158="","",IF(B158="Business broker","1 - Highest",IF(OR(B158="POS installer",B158="Bookkeeper / CPA"),"2 - High",IF(OR(B158="Liquor / food rep",B158="Consultant"),"3 - Strong",IF(B158="Other","5 - Other","4 - Good")))))</f>
        <v/>
      </c>
      <c r="D158" s="10" t="n"/>
      <c r="E158" s="10" t="n"/>
      <c r="F158" s="10" t="n"/>
      <c r="G158" s="10" t="n"/>
      <c r="H158" s="10" t="n"/>
      <c r="I158" s="10" t="n"/>
      <c r="J158" s="12" t="n"/>
      <c r="K158" s="10" t="n"/>
      <c r="L158" s="12" t="n"/>
      <c r="M158" s="11">
        <f>IF(A158="","",COUNTIF('Referral Log'!$C$4:$C$400,A158))</f>
        <v/>
      </c>
      <c r="N158" s="10" t="n"/>
    </row>
    <row r="159">
      <c r="A159" s="10" t="n"/>
      <c r="B159" s="10" t="n"/>
      <c r="C159" s="11">
        <f>IF(B159="","",IF(B159="Business broker","1 - Highest",IF(OR(B159="POS installer",B159="Bookkeeper / CPA"),"2 - High",IF(OR(B159="Liquor / food rep",B159="Consultant"),"3 - Strong",IF(B159="Other","5 - Other","4 - Good")))))</f>
        <v/>
      </c>
      <c r="D159" s="10" t="n"/>
      <c r="E159" s="10" t="n"/>
      <c r="F159" s="10" t="n"/>
      <c r="G159" s="10" t="n"/>
      <c r="H159" s="10" t="n"/>
      <c r="I159" s="10" t="n"/>
      <c r="J159" s="12" t="n"/>
      <c r="K159" s="10" t="n"/>
      <c r="L159" s="12" t="n"/>
      <c r="M159" s="11">
        <f>IF(A159="","",COUNTIF('Referral Log'!$C$4:$C$400,A159))</f>
        <v/>
      </c>
      <c r="N159" s="10" t="n"/>
    </row>
    <row r="160">
      <c r="A160" s="10" t="n"/>
      <c r="B160" s="10" t="n"/>
      <c r="C160" s="11">
        <f>IF(B160="","",IF(B160="Business broker","1 - Highest",IF(OR(B160="POS installer",B160="Bookkeeper / CPA"),"2 - High",IF(OR(B160="Liquor / food rep",B160="Consultant"),"3 - Strong",IF(B160="Other","5 - Other","4 - Good")))))</f>
        <v/>
      </c>
      <c r="D160" s="10" t="n"/>
      <c r="E160" s="10" t="n"/>
      <c r="F160" s="10" t="n"/>
      <c r="G160" s="10" t="n"/>
      <c r="H160" s="10" t="n"/>
      <c r="I160" s="10" t="n"/>
      <c r="J160" s="12" t="n"/>
      <c r="K160" s="10" t="n"/>
      <c r="L160" s="12" t="n"/>
      <c r="M160" s="11">
        <f>IF(A160="","",COUNTIF('Referral Log'!$C$4:$C$400,A160))</f>
        <v/>
      </c>
      <c r="N160" s="10" t="n"/>
    </row>
    <row r="161">
      <c r="A161" s="10" t="n"/>
      <c r="B161" s="10" t="n"/>
      <c r="C161" s="11">
        <f>IF(B161="","",IF(B161="Business broker","1 - Highest",IF(OR(B161="POS installer",B161="Bookkeeper / CPA"),"2 - High",IF(OR(B161="Liquor / food rep",B161="Consultant"),"3 - Strong",IF(B161="Other","5 - Other","4 - Good")))))</f>
        <v/>
      </c>
      <c r="D161" s="10" t="n"/>
      <c r="E161" s="10" t="n"/>
      <c r="F161" s="10" t="n"/>
      <c r="G161" s="10" t="n"/>
      <c r="H161" s="10" t="n"/>
      <c r="I161" s="10" t="n"/>
      <c r="J161" s="12" t="n"/>
      <c r="K161" s="10" t="n"/>
      <c r="L161" s="12" t="n"/>
      <c r="M161" s="11">
        <f>IF(A161="","",COUNTIF('Referral Log'!$C$4:$C$400,A161))</f>
        <v/>
      </c>
      <c r="N161" s="10" t="n"/>
    </row>
    <row r="162">
      <c r="A162" s="10" t="n"/>
      <c r="B162" s="10" t="n"/>
      <c r="C162" s="11">
        <f>IF(B162="","",IF(B162="Business broker","1 - Highest",IF(OR(B162="POS installer",B162="Bookkeeper / CPA"),"2 - High",IF(OR(B162="Liquor / food rep",B162="Consultant"),"3 - Strong",IF(B162="Other","5 - Other","4 - Good")))))</f>
        <v/>
      </c>
      <c r="D162" s="10" t="n"/>
      <c r="E162" s="10" t="n"/>
      <c r="F162" s="10" t="n"/>
      <c r="G162" s="10" t="n"/>
      <c r="H162" s="10" t="n"/>
      <c r="I162" s="10" t="n"/>
      <c r="J162" s="12" t="n"/>
      <c r="K162" s="10" t="n"/>
      <c r="L162" s="12" t="n"/>
      <c r="M162" s="11">
        <f>IF(A162="","",COUNTIF('Referral Log'!$C$4:$C$400,A162))</f>
        <v/>
      </c>
      <c r="N162" s="10" t="n"/>
    </row>
    <row r="163">
      <c r="A163" s="10" t="n"/>
      <c r="B163" s="10" t="n"/>
      <c r="C163" s="11">
        <f>IF(B163="","",IF(B163="Business broker","1 - Highest",IF(OR(B163="POS installer",B163="Bookkeeper / CPA"),"2 - High",IF(OR(B163="Liquor / food rep",B163="Consultant"),"3 - Strong",IF(B163="Other","5 - Other","4 - Good")))))</f>
        <v/>
      </c>
      <c r="D163" s="10" t="n"/>
      <c r="E163" s="10" t="n"/>
      <c r="F163" s="10" t="n"/>
      <c r="G163" s="10" t="n"/>
      <c r="H163" s="10" t="n"/>
      <c r="I163" s="10" t="n"/>
      <c r="J163" s="12" t="n"/>
      <c r="K163" s="10" t="n"/>
      <c r="L163" s="12" t="n"/>
      <c r="M163" s="11">
        <f>IF(A163="","",COUNTIF('Referral Log'!$C$4:$C$400,A163))</f>
        <v/>
      </c>
      <c r="N163" s="10" t="n"/>
    </row>
    <row r="164">
      <c r="A164" s="10" t="n"/>
      <c r="B164" s="10" t="n"/>
      <c r="C164" s="11">
        <f>IF(B164="","",IF(B164="Business broker","1 - Highest",IF(OR(B164="POS installer",B164="Bookkeeper / CPA"),"2 - High",IF(OR(B164="Liquor / food rep",B164="Consultant"),"3 - Strong",IF(B164="Other","5 - Other","4 - Good")))))</f>
        <v/>
      </c>
      <c r="D164" s="10" t="n"/>
      <c r="E164" s="10" t="n"/>
      <c r="F164" s="10" t="n"/>
      <c r="G164" s="10" t="n"/>
      <c r="H164" s="10" t="n"/>
      <c r="I164" s="10" t="n"/>
      <c r="J164" s="12" t="n"/>
      <c r="K164" s="10" t="n"/>
      <c r="L164" s="12" t="n"/>
      <c r="M164" s="11">
        <f>IF(A164="","",COUNTIF('Referral Log'!$C$4:$C$400,A164))</f>
        <v/>
      </c>
      <c r="N164" s="10" t="n"/>
    </row>
    <row r="165">
      <c r="A165" s="10" t="n"/>
      <c r="B165" s="10" t="n"/>
      <c r="C165" s="11">
        <f>IF(B165="","",IF(B165="Business broker","1 - Highest",IF(OR(B165="POS installer",B165="Bookkeeper / CPA"),"2 - High",IF(OR(B165="Liquor / food rep",B165="Consultant"),"3 - Strong",IF(B165="Other","5 - Other","4 - Good")))))</f>
        <v/>
      </c>
      <c r="D165" s="10" t="n"/>
      <c r="E165" s="10" t="n"/>
      <c r="F165" s="10" t="n"/>
      <c r="G165" s="10" t="n"/>
      <c r="H165" s="10" t="n"/>
      <c r="I165" s="10" t="n"/>
      <c r="J165" s="12" t="n"/>
      <c r="K165" s="10" t="n"/>
      <c r="L165" s="12" t="n"/>
      <c r="M165" s="11">
        <f>IF(A165="","",COUNTIF('Referral Log'!$C$4:$C$400,A165))</f>
        <v/>
      </c>
      <c r="N165" s="10" t="n"/>
    </row>
    <row r="166">
      <c r="A166" s="10" t="n"/>
      <c r="B166" s="10" t="n"/>
      <c r="C166" s="11">
        <f>IF(B166="","",IF(B166="Business broker","1 - Highest",IF(OR(B166="POS installer",B166="Bookkeeper / CPA"),"2 - High",IF(OR(B166="Liquor / food rep",B166="Consultant"),"3 - Strong",IF(B166="Other","5 - Other","4 - Good")))))</f>
        <v/>
      </c>
      <c r="D166" s="10" t="n"/>
      <c r="E166" s="10" t="n"/>
      <c r="F166" s="10" t="n"/>
      <c r="G166" s="10" t="n"/>
      <c r="H166" s="10" t="n"/>
      <c r="I166" s="10" t="n"/>
      <c r="J166" s="12" t="n"/>
      <c r="K166" s="10" t="n"/>
      <c r="L166" s="12" t="n"/>
      <c r="M166" s="11">
        <f>IF(A166="","",COUNTIF('Referral Log'!$C$4:$C$400,A166))</f>
        <v/>
      </c>
      <c r="N166" s="10" t="n"/>
    </row>
    <row r="167">
      <c r="A167" s="10" t="n"/>
      <c r="B167" s="10" t="n"/>
      <c r="C167" s="11">
        <f>IF(B167="","",IF(B167="Business broker","1 - Highest",IF(OR(B167="POS installer",B167="Bookkeeper / CPA"),"2 - High",IF(OR(B167="Liquor / food rep",B167="Consultant"),"3 - Strong",IF(B167="Other","5 - Other","4 - Good")))))</f>
        <v/>
      </c>
      <c r="D167" s="10" t="n"/>
      <c r="E167" s="10" t="n"/>
      <c r="F167" s="10" t="n"/>
      <c r="G167" s="10" t="n"/>
      <c r="H167" s="10" t="n"/>
      <c r="I167" s="10" t="n"/>
      <c r="J167" s="12" t="n"/>
      <c r="K167" s="10" t="n"/>
      <c r="L167" s="12" t="n"/>
      <c r="M167" s="11">
        <f>IF(A167="","",COUNTIF('Referral Log'!$C$4:$C$400,A167))</f>
        <v/>
      </c>
      <c r="N167" s="10" t="n"/>
    </row>
    <row r="168">
      <c r="A168" s="10" t="n"/>
      <c r="B168" s="10" t="n"/>
      <c r="C168" s="11">
        <f>IF(B168="","",IF(B168="Business broker","1 - Highest",IF(OR(B168="POS installer",B168="Bookkeeper / CPA"),"2 - High",IF(OR(B168="Liquor / food rep",B168="Consultant"),"3 - Strong",IF(B168="Other","5 - Other","4 - Good")))))</f>
        <v/>
      </c>
      <c r="D168" s="10" t="n"/>
      <c r="E168" s="10" t="n"/>
      <c r="F168" s="10" t="n"/>
      <c r="G168" s="10" t="n"/>
      <c r="H168" s="10" t="n"/>
      <c r="I168" s="10" t="n"/>
      <c r="J168" s="12" t="n"/>
      <c r="K168" s="10" t="n"/>
      <c r="L168" s="12" t="n"/>
      <c r="M168" s="11">
        <f>IF(A168="","",COUNTIF('Referral Log'!$C$4:$C$400,A168))</f>
        <v/>
      </c>
      <c r="N168" s="10" t="n"/>
    </row>
    <row r="169">
      <c r="A169" s="10" t="n"/>
      <c r="B169" s="10" t="n"/>
      <c r="C169" s="11">
        <f>IF(B169="","",IF(B169="Business broker","1 - Highest",IF(OR(B169="POS installer",B169="Bookkeeper / CPA"),"2 - High",IF(OR(B169="Liquor / food rep",B169="Consultant"),"3 - Strong",IF(B169="Other","5 - Other","4 - Good")))))</f>
        <v/>
      </c>
      <c r="D169" s="10" t="n"/>
      <c r="E169" s="10" t="n"/>
      <c r="F169" s="10" t="n"/>
      <c r="G169" s="10" t="n"/>
      <c r="H169" s="10" t="n"/>
      <c r="I169" s="10" t="n"/>
      <c r="J169" s="12" t="n"/>
      <c r="K169" s="10" t="n"/>
      <c r="L169" s="12" t="n"/>
      <c r="M169" s="11">
        <f>IF(A169="","",COUNTIF('Referral Log'!$C$4:$C$400,A169))</f>
        <v/>
      </c>
      <c r="N169" s="10" t="n"/>
    </row>
    <row r="170">
      <c r="A170" s="10" t="n"/>
      <c r="B170" s="10" t="n"/>
      <c r="C170" s="11">
        <f>IF(B170="","",IF(B170="Business broker","1 - Highest",IF(OR(B170="POS installer",B170="Bookkeeper / CPA"),"2 - High",IF(OR(B170="Liquor / food rep",B170="Consultant"),"3 - Strong",IF(B170="Other","5 - Other","4 - Good")))))</f>
        <v/>
      </c>
      <c r="D170" s="10" t="n"/>
      <c r="E170" s="10" t="n"/>
      <c r="F170" s="10" t="n"/>
      <c r="G170" s="10" t="n"/>
      <c r="H170" s="10" t="n"/>
      <c r="I170" s="10" t="n"/>
      <c r="J170" s="12" t="n"/>
      <c r="K170" s="10" t="n"/>
      <c r="L170" s="12" t="n"/>
      <c r="M170" s="11">
        <f>IF(A170="","",COUNTIF('Referral Log'!$C$4:$C$400,A170))</f>
        <v/>
      </c>
      <c r="N170" s="10" t="n"/>
    </row>
    <row r="171">
      <c r="A171" s="10" t="n"/>
      <c r="B171" s="10" t="n"/>
      <c r="C171" s="11">
        <f>IF(B171="","",IF(B171="Business broker","1 - Highest",IF(OR(B171="POS installer",B171="Bookkeeper / CPA"),"2 - High",IF(OR(B171="Liquor / food rep",B171="Consultant"),"3 - Strong",IF(B171="Other","5 - Other","4 - Good")))))</f>
        <v/>
      </c>
      <c r="D171" s="10" t="n"/>
      <c r="E171" s="10" t="n"/>
      <c r="F171" s="10" t="n"/>
      <c r="G171" s="10" t="n"/>
      <c r="H171" s="10" t="n"/>
      <c r="I171" s="10" t="n"/>
      <c r="J171" s="12" t="n"/>
      <c r="K171" s="10" t="n"/>
      <c r="L171" s="12" t="n"/>
      <c r="M171" s="11">
        <f>IF(A171="","",COUNTIF('Referral Log'!$C$4:$C$400,A171))</f>
        <v/>
      </c>
      <c r="N171" s="10" t="n"/>
    </row>
    <row r="172">
      <c r="A172" s="10" t="n"/>
      <c r="B172" s="10" t="n"/>
      <c r="C172" s="11">
        <f>IF(B172="","",IF(B172="Business broker","1 - Highest",IF(OR(B172="POS installer",B172="Bookkeeper / CPA"),"2 - High",IF(OR(B172="Liquor / food rep",B172="Consultant"),"3 - Strong",IF(B172="Other","5 - Other","4 - Good")))))</f>
        <v/>
      </c>
      <c r="D172" s="10" t="n"/>
      <c r="E172" s="10" t="n"/>
      <c r="F172" s="10" t="n"/>
      <c r="G172" s="10" t="n"/>
      <c r="H172" s="10" t="n"/>
      <c r="I172" s="10" t="n"/>
      <c r="J172" s="12" t="n"/>
      <c r="K172" s="10" t="n"/>
      <c r="L172" s="12" t="n"/>
      <c r="M172" s="11">
        <f>IF(A172="","",COUNTIF('Referral Log'!$C$4:$C$400,A172))</f>
        <v/>
      </c>
      <c r="N172" s="10" t="n"/>
    </row>
    <row r="173">
      <c r="A173" s="10" t="n"/>
      <c r="B173" s="10" t="n"/>
      <c r="C173" s="11">
        <f>IF(B173="","",IF(B173="Business broker","1 - Highest",IF(OR(B173="POS installer",B173="Bookkeeper / CPA"),"2 - High",IF(OR(B173="Liquor / food rep",B173="Consultant"),"3 - Strong",IF(B173="Other","5 - Other","4 - Good")))))</f>
        <v/>
      </c>
      <c r="D173" s="10" t="n"/>
      <c r="E173" s="10" t="n"/>
      <c r="F173" s="10" t="n"/>
      <c r="G173" s="10" t="n"/>
      <c r="H173" s="10" t="n"/>
      <c r="I173" s="10" t="n"/>
      <c r="J173" s="12" t="n"/>
      <c r="K173" s="10" t="n"/>
      <c r="L173" s="12" t="n"/>
      <c r="M173" s="11">
        <f>IF(A173="","",COUNTIF('Referral Log'!$C$4:$C$400,A173))</f>
        <v/>
      </c>
      <c r="N173" s="10" t="n"/>
    </row>
    <row r="174">
      <c r="A174" s="10" t="n"/>
      <c r="B174" s="10" t="n"/>
      <c r="C174" s="11">
        <f>IF(B174="","",IF(B174="Business broker","1 - Highest",IF(OR(B174="POS installer",B174="Bookkeeper / CPA"),"2 - High",IF(OR(B174="Liquor / food rep",B174="Consultant"),"3 - Strong",IF(B174="Other","5 - Other","4 - Good")))))</f>
        <v/>
      </c>
      <c r="D174" s="10" t="n"/>
      <c r="E174" s="10" t="n"/>
      <c r="F174" s="10" t="n"/>
      <c r="G174" s="10" t="n"/>
      <c r="H174" s="10" t="n"/>
      <c r="I174" s="10" t="n"/>
      <c r="J174" s="12" t="n"/>
      <c r="K174" s="10" t="n"/>
      <c r="L174" s="12" t="n"/>
      <c r="M174" s="11">
        <f>IF(A174="","",COUNTIF('Referral Log'!$C$4:$C$400,A174))</f>
        <v/>
      </c>
      <c r="N174" s="10" t="n"/>
    </row>
    <row r="175">
      <c r="A175" s="10" t="n"/>
      <c r="B175" s="10" t="n"/>
      <c r="C175" s="11">
        <f>IF(B175="","",IF(B175="Business broker","1 - Highest",IF(OR(B175="POS installer",B175="Bookkeeper / CPA"),"2 - High",IF(OR(B175="Liquor / food rep",B175="Consultant"),"3 - Strong",IF(B175="Other","5 - Other","4 - Good")))))</f>
        <v/>
      </c>
      <c r="D175" s="10" t="n"/>
      <c r="E175" s="10" t="n"/>
      <c r="F175" s="10" t="n"/>
      <c r="G175" s="10" t="n"/>
      <c r="H175" s="10" t="n"/>
      <c r="I175" s="10" t="n"/>
      <c r="J175" s="12" t="n"/>
      <c r="K175" s="10" t="n"/>
      <c r="L175" s="12" t="n"/>
      <c r="M175" s="11">
        <f>IF(A175="","",COUNTIF('Referral Log'!$C$4:$C$400,A175))</f>
        <v/>
      </c>
      <c r="N175" s="10" t="n"/>
    </row>
    <row r="176">
      <c r="A176" s="10" t="n"/>
      <c r="B176" s="10" t="n"/>
      <c r="C176" s="11">
        <f>IF(B176="","",IF(B176="Business broker","1 - Highest",IF(OR(B176="POS installer",B176="Bookkeeper / CPA"),"2 - High",IF(OR(B176="Liquor / food rep",B176="Consultant"),"3 - Strong",IF(B176="Other","5 - Other","4 - Good")))))</f>
        <v/>
      </c>
      <c r="D176" s="10" t="n"/>
      <c r="E176" s="10" t="n"/>
      <c r="F176" s="10" t="n"/>
      <c r="G176" s="10" t="n"/>
      <c r="H176" s="10" t="n"/>
      <c r="I176" s="10" t="n"/>
      <c r="J176" s="12" t="n"/>
      <c r="K176" s="10" t="n"/>
      <c r="L176" s="12" t="n"/>
      <c r="M176" s="11">
        <f>IF(A176="","",COUNTIF('Referral Log'!$C$4:$C$400,A176))</f>
        <v/>
      </c>
      <c r="N176" s="10" t="n"/>
    </row>
    <row r="177">
      <c r="A177" s="10" t="n"/>
      <c r="B177" s="10" t="n"/>
      <c r="C177" s="11">
        <f>IF(B177="","",IF(B177="Business broker","1 - Highest",IF(OR(B177="POS installer",B177="Bookkeeper / CPA"),"2 - High",IF(OR(B177="Liquor / food rep",B177="Consultant"),"3 - Strong",IF(B177="Other","5 - Other","4 - Good")))))</f>
        <v/>
      </c>
      <c r="D177" s="10" t="n"/>
      <c r="E177" s="10" t="n"/>
      <c r="F177" s="10" t="n"/>
      <c r="G177" s="10" t="n"/>
      <c r="H177" s="10" t="n"/>
      <c r="I177" s="10" t="n"/>
      <c r="J177" s="12" t="n"/>
      <c r="K177" s="10" t="n"/>
      <c r="L177" s="12" t="n"/>
      <c r="M177" s="11">
        <f>IF(A177="","",COUNTIF('Referral Log'!$C$4:$C$400,A177))</f>
        <v/>
      </c>
      <c r="N177" s="10" t="n"/>
    </row>
    <row r="178">
      <c r="A178" s="10" t="n"/>
      <c r="B178" s="10" t="n"/>
      <c r="C178" s="11">
        <f>IF(B178="","",IF(B178="Business broker","1 - Highest",IF(OR(B178="POS installer",B178="Bookkeeper / CPA"),"2 - High",IF(OR(B178="Liquor / food rep",B178="Consultant"),"3 - Strong",IF(B178="Other","5 - Other","4 - Good")))))</f>
        <v/>
      </c>
      <c r="D178" s="10" t="n"/>
      <c r="E178" s="10" t="n"/>
      <c r="F178" s="10" t="n"/>
      <c r="G178" s="10" t="n"/>
      <c r="H178" s="10" t="n"/>
      <c r="I178" s="10" t="n"/>
      <c r="J178" s="12" t="n"/>
      <c r="K178" s="10" t="n"/>
      <c r="L178" s="12" t="n"/>
      <c r="M178" s="11">
        <f>IF(A178="","",COUNTIF('Referral Log'!$C$4:$C$400,A178))</f>
        <v/>
      </c>
      <c r="N178" s="10" t="n"/>
    </row>
    <row r="179">
      <c r="A179" s="10" t="n"/>
      <c r="B179" s="10" t="n"/>
      <c r="C179" s="11">
        <f>IF(B179="","",IF(B179="Business broker","1 - Highest",IF(OR(B179="POS installer",B179="Bookkeeper / CPA"),"2 - High",IF(OR(B179="Liquor / food rep",B179="Consultant"),"3 - Strong",IF(B179="Other","5 - Other","4 - Good")))))</f>
        <v/>
      </c>
      <c r="D179" s="10" t="n"/>
      <c r="E179" s="10" t="n"/>
      <c r="F179" s="10" t="n"/>
      <c r="G179" s="10" t="n"/>
      <c r="H179" s="10" t="n"/>
      <c r="I179" s="10" t="n"/>
      <c r="J179" s="12" t="n"/>
      <c r="K179" s="10" t="n"/>
      <c r="L179" s="12" t="n"/>
      <c r="M179" s="11">
        <f>IF(A179="","",COUNTIF('Referral Log'!$C$4:$C$400,A179))</f>
        <v/>
      </c>
      <c r="N179" s="10" t="n"/>
    </row>
    <row r="180">
      <c r="A180" s="10" t="n"/>
      <c r="B180" s="10" t="n"/>
      <c r="C180" s="11">
        <f>IF(B180="","",IF(B180="Business broker","1 - Highest",IF(OR(B180="POS installer",B180="Bookkeeper / CPA"),"2 - High",IF(OR(B180="Liquor / food rep",B180="Consultant"),"3 - Strong",IF(B180="Other","5 - Other","4 - Good")))))</f>
        <v/>
      </c>
      <c r="D180" s="10" t="n"/>
      <c r="E180" s="10" t="n"/>
      <c r="F180" s="10" t="n"/>
      <c r="G180" s="10" t="n"/>
      <c r="H180" s="10" t="n"/>
      <c r="I180" s="10" t="n"/>
      <c r="J180" s="12" t="n"/>
      <c r="K180" s="10" t="n"/>
      <c r="L180" s="12" t="n"/>
      <c r="M180" s="11">
        <f>IF(A180="","",COUNTIF('Referral Log'!$C$4:$C$400,A180))</f>
        <v/>
      </c>
      <c r="N180" s="10" t="n"/>
    </row>
    <row r="181">
      <c r="A181" s="10" t="n"/>
      <c r="B181" s="10" t="n"/>
      <c r="C181" s="11">
        <f>IF(B181="","",IF(B181="Business broker","1 - Highest",IF(OR(B181="POS installer",B181="Bookkeeper / CPA"),"2 - High",IF(OR(B181="Liquor / food rep",B181="Consultant"),"3 - Strong",IF(B181="Other","5 - Other","4 - Good")))))</f>
        <v/>
      </c>
      <c r="D181" s="10" t="n"/>
      <c r="E181" s="10" t="n"/>
      <c r="F181" s="10" t="n"/>
      <c r="G181" s="10" t="n"/>
      <c r="H181" s="10" t="n"/>
      <c r="I181" s="10" t="n"/>
      <c r="J181" s="12" t="n"/>
      <c r="K181" s="10" t="n"/>
      <c r="L181" s="12" t="n"/>
      <c r="M181" s="11">
        <f>IF(A181="","",COUNTIF('Referral Log'!$C$4:$C$400,A181))</f>
        <v/>
      </c>
      <c r="N181" s="10" t="n"/>
    </row>
    <row r="182">
      <c r="A182" s="10" t="n"/>
      <c r="B182" s="10" t="n"/>
      <c r="C182" s="11">
        <f>IF(B182="","",IF(B182="Business broker","1 - Highest",IF(OR(B182="POS installer",B182="Bookkeeper / CPA"),"2 - High",IF(OR(B182="Liquor / food rep",B182="Consultant"),"3 - Strong",IF(B182="Other","5 - Other","4 - Good")))))</f>
        <v/>
      </c>
      <c r="D182" s="10" t="n"/>
      <c r="E182" s="10" t="n"/>
      <c r="F182" s="10" t="n"/>
      <c r="G182" s="10" t="n"/>
      <c r="H182" s="10" t="n"/>
      <c r="I182" s="10" t="n"/>
      <c r="J182" s="12" t="n"/>
      <c r="K182" s="10" t="n"/>
      <c r="L182" s="12" t="n"/>
      <c r="M182" s="11">
        <f>IF(A182="","",COUNTIF('Referral Log'!$C$4:$C$400,A182))</f>
        <v/>
      </c>
      <c r="N182" s="10" t="n"/>
    </row>
    <row r="183">
      <c r="A183" s="10" t="n"/>
      <c r="B183" s="10" t="n"/>
      <c r="C183" s="11">
        <f>IF(B183="","",IF(B183="Business broker","1 - Highest",IF(OR(B183="POS installer",B183="Bookkeeper / CPA"),"2 - High",IF(OR(B183="Liquor / food rep",B183="Consultant"),"3 - Strong",IF(B183="Other","5 - Other","4 - Good")))))</f>
        <v/>
      </c>
      <c r="D183" s="10" t="n"/>
      <c r="E183" s="10" t="n"/>
      <c r="F183" s="10" t="n"/>
      <c r="G183" s="10" t="n"/>
      <c r="H183" s="10" t="n"/>
      <c r="I183" s="10" t="n"/>
      <c r="J183" s="12" t="n"/>
      <c r="K183" s="10" t="n"/>
      <c r="L183" s="12" t="n"/>
      <c r="M183" s="11">
        <f>IF(A183="","",COUNTIF('Referral Log'!$C$4:$C$400,A183))</f>
        <v/>
      </c>
      <c r="N183" s="10" t="n"/>
    </row>
    <row r="184">
      <c r="A184" s="10" t="n"/>
      <c r="B184" s="10" t="n"/>
      <c r="C184" s="11">
        <f>IF(B184="","",IF(B184="Business broker","1 - Highest",IF(OR(B184="POS installer",B184="Bookkeeper / CPA"),"2 - High",IF(OR(B184="Liquor / food rep",B184="Consultant"),"3 - Strong",IF(B184="Other","5 - Other","4 - Good")))))</f>
        <v/>
      </c>
      <c r="D184" s="10" t="n"/>
      <c r="E184" s="10" t="n"/>
      <c r="F184" s="10" t="n"/>
      <c r="G184" s="10" t="n"/>
      <c r="H184" s="10" t="n"/>
      <c r="I184" s="10" t="n"/>
      <c r="J184" s="12" t="n"/>
      <c r="K184" s="10" t="n"/>
      <c r="L184" s="12" t="n"/>
      <c r="M184" s="11">
        <f>IF(A184="","",COUNTIF('Referral Log'!$C$4:$C$400,A184))</f>
        <v/>
      </c>
      <c r="N184" s="10" t="n"/>
    </row>
    <row r="185">
      <c r="A185" s="10" t="n"/>
      <c r="B185" s="10" t="n"/>
      <c r="C185" s="11">
        <f>IF(B185="","",IF(B185="Business broker","1 - Highest",IF(OR(B185="POS installer",B185="Bookkeeper / CPA"),"2 - High",IF(OR(B185="Liquor / food rep",B185="Consultant"),"3 - Strong",IF(B185="Other","5 - Other","4 - Good")))))</f>
        <v/>
      </c>
      <c r="D185" s="10" t="n"/>
      <c r="E185" s="10" t="n"/>
      <c r="F185" s="10" t="n"/>
      <c r="G185" s="10" t="n"/>
      <c r="H185" s="10" t="n"/>
      <c r="I185" s="10" t="n"/>
      <c r="J185" s="12" t="n"/>
      <c r="K185" s="10" t="n"/>
      <c r="L185" s="12" t="n"/>
      <c r="M185" s="11">
        <f>IF(A185="","",COUNTIF('Referral Log'!$C$4:$C$400,A185))</f>
        <v/>
      </c>
      <c r="N185" s="10" t="n"/>
    </row>
    <row r="186">
      <c r="A186" s="10" t="n"/>
      <c r="B186" s="10" t="n"/>
      <c r="C186" s="11">
        <f>IF(B186="","",IF(B186="Business broker","1 - Highest",IF(OR(B186="POS installer",B186="Bookkeeper / CPA"),"2 - High",IF(OR(B186="Liquor / food rep",B186="Consultant"),"3 - Strong",IF(B186="Other","5 - Other","4 - Good")))))</f>
        <v/>
      </c>
      <c r="D186" s="10" t="n"/>
      <c r="E186" s="10" t="n"/>
      <c r="F186" s="10" t="n"/>
      <c r="G186" s="10" t="n"/>
      <c r="H186" s="10" t="n"/>
      <c r="I186" s="10" t="n"/>
      <c r="J186" s="12" t="n"/>
      <c r="K186" s="10" t="n"/>
      <c r="L186" s="12" t="n"/>
      <c r="M186" s="11">
        <f>IF(A186="","",COUNTIF('Referral Log'!$C$4:$C$400,A186))</f>
        <v/>
      </c>
      <c r="N186" s="10" t="n"/>
    </row>
    <row r="187">
      <c r="A187" s="10" t="n"/>
      <c r="B187" s="10" t="n"/>
      <c r="C187" s="11">
        <f>IF(B187="","",IF(B187="Business broker","1 - Highest",IF(OR(B187="POS installer",B187="Bookkeeper / CPA"),"2 - High",IF(OR(B187="Liquor / food rep",B187="Consultant"),"3 - Strong",IF(B187="Other","5 - Other","4 - Good")))))</f>
        <v/>
      </c>
      <c r="D187" s="10" t="n"/>
      <c r="E187" s="10" t="n"/>
      <c r="F187" s="10" t="n"/>
      <c r="G187" s="10" t="n"/>
      <c r="H187" s="10" t="n"/>
      <c r="I187" s="10" t="n"/>
      <c r="J187" s="12" t="n"/>
      <c r="K187" s="10" t="n"/>
      <c r="L187" s="12" t="n"/>
      <c r="M187" s="11">
        <f>IF(A187="","",COUNTIF('Referral Log'!$C$4:$C$400,A187))</f>
        <v/>
      </c>
      <c r="N187" s="10" t="n"/>
    </row>
    <row r="188">
      <c r="A188" s="10" t="n"/>
      <c r="B188" s="10" t="n"/>
      <c r="C188" s="11">
        <f>IF(B188="","",IF(B188="Business broker","1 - Highest",IF(OR(B188="POS installer",B188="Bookkeeper / CPA"),"2 - High",IF(OR(B188="Liquor / food rep",B188="Consultant"),"3 - Strong",IF(B188="Other","5 - Other","4 - Good")))))</f>
        <v/>
      </c>
      <c r="D188" s="10" t="n"/>
      <c r="E188" s="10" t="n"/>
      <c r="F188" s="10" t="n"/>
      <c r="G188" s="10" t="n"/>
      <c r="H188" s="10" t="n"/>
      <c r="I188" s="10" t="n"/>
      <c r="J188" s="12" t="n"/>
      <c r="K188" s="10" t="n"/>
      <c r="L188" s="12" t="n"/>
      <c r="M188" s="11">
        <f>IF(A188="","",COUNTIF('Referral Log'!$C$4:$C$400,A188))</f>
        <v/>
      </c>
      <c r="N188" s="10" t="n"/>
    </row>
    <row r="189">
      <c r="A189" s="10" t="n"/>
      <c r="B189" s="10" t="n"/>
      <c r="C189" s="11">
        <f>IF(B189="","",IF(B189="Business broker","1 - Highest",IF(OR(B189="POS installer",B189="Bookkeeper / CPA"),"2 - High",IF(OR(B189="Liquor / food rep",B189="Consultant"),"3 - Strong",IF(B189="Other","5 - Other","4 - Good")))))</f>
        <v/>
      </c>
      <c r="D189" s="10" t="n"/>
      <c r="E189" s="10" t="n"/>
      <c r="F189" s="10" t="n"/>
      <c r="G189" s="10" t="n"/>
      <c r="H189" s="10" t="n"/>
      <c r="I189" s="10" t="n"/>
      <c r="J189" s="12" t="n"/>
      <c r="K189" s="10" t="n"/>
      <c r="L189" s="12" t="n"/>
      <c r="M189" s="11">
        <f>IF(A189="","",COUNTIF('Referral Log'!$C$4:$C$400,A189))</f>
        <v/>
      </c>
      <c r="N189" s="10" t="n"/>
    </row>
    <row r="190">
      <c r="A190" s="10" t="n"/>
      <c r="B190" s="10" t="n"/>
      <c r="C190" s="11">
        <f>IF(B190="","",IF(B190="Business broker","1 - Highest",IF(OR(B190="POS installer",B190="Bookkeeper / CPA"),"2 - High",IF(OR(B190="Liquor / food rep",B190="Consultant"),"3 - Strong",IF(B190="Other","5 - Other","4 - Good")))))</f>
        <v/>
      </c>
      <c r="D190" s="10" t="n"/>
      <c r="E190" s="10" t="n"/>
      <c r="F190" s="10" t="n"/>
      <c r="G190" s="10" t="n"/>
      <c r="H190" s="10" t="n"/>
      <c r="I190" s="10" t="n"/>
      <c r="J190" s="12" t="n"/>
      <c r="K190" s="10" t="n"/>
      <c r="L190" s="12" t="n"/>
      <c r="M190" s="11">
        <f>IF(A190="","",COUNTIF('Referral Log'!$C$4:$C$400,A190))</f>
        <v/>
      </c>
      <c r="N190" s="10" t="n"/>
    </row>
    <row r="191">
      <c r="A191" s="10" t="n"/>
      <c r="B191" s="10" t="n"/>
      <c r="C191" s="11">
        <f>IF(B191="","",IF(B191="Business broker","1 - Highest",IF(OR(B191="POS installer",B191="Bookkeeper / CPA"),"2 - High",IF(OR(B191="Liquor / food rep",B191="Consultant"),"3 - Strong",IF(B191="Other","5 - Other","4 - Good")))))</f>
        <v/>
      </c>
      <c r="D191" s="10" t="n"/>
      <c r="E191" s="10" t="n"/>
      <c r="F191" s="10" t="n"/>
      <c r="G191" s="10" t="n"/>
      <c r="H191" s="10" t="n"/>
      <c r="I191" s="10" t="n"/>
      <c r="J191" s="12" t="n"/>
      <c r="K191" s="10" t="n"/>
      <c r="L191" s="12" t="n"/>
      <c r="M191" s="11">
        <f>IF(A191="","",COUNTIF('Referral Log'!$C$4:$C$400,A191))</f>
        <v/>
      </c>
      <c r="N191" s="10" t="n"/>
    </row>
    <row r="192">
      <c r="A192" s="10" t="n"/>
      <c r="B192" s="10" t="n"/>
      <c r="C192" s="11">
        <f>IF(B192="","",IF(B192="Business broker","1 - Highest",IF(OR(B192="POS installer",B192="Bookkeeper / CPA"),"2 - High",IF(OR(B192="Liquor / food rep",B192="Consultant"),"3 - Strong",IF(B192="Other","5 - Other","4 - Good")))))</f>
        <v/>
      </c>
      <c r="D192" s="10" t="n"/>
      <c r="E192" s="10" t="n"/>
      <c r="F192" s="10" t="n"/>
      <c r="G192" s="10" t="n"/>
      <c r="H192" s="10" t="n"/>
      <c r="I192" s="10" t="n"/>
      <c r="J192" s="12" t="n"/>
      <c r="K192" s="10" t="n"/>
      <c r="L192" s="12" t="n"/>
      <c r="M192" s="11">
        <f>IF(A192="","",COUNTIF('Referral Log'!$C$4:$C$400,A192))</f>
        <v/>
      </c>
      <c r="N192" s="10" t="n"/>
    </row>
    <row r="193">
      <c r="A193" s="10" t="n"/>
      <c r="B193" s="10" t="n"/>
      <c r="C193" s="11">
        <f>IF(B193="","",IF(B193="Business broker","1 - Highest",IF(OR(B193="POS installer",B193="Bookkeeper / CPA"),"2 - High",IF(OR(B193="Liquor / food rep",B193="Consultant"),"3 - Strong",IF(B193="Other","5 - Other","4 - Good")))))</f>
        <v/>
      </c>
      <c r="D193" s="10" t="n"/>
      <c r="E193" s="10" t="n"/>
      <c r="F193" s="10" t="n"/>
      <c r="G193" s="10" t="n"/>
      <c r="H193" s="10" t="n"/>
      <c r="I193" s="10" t="n"/>
      <c r="J193" s="12" t="n"/>
      <c r="K193" s="10" t="n"/>
      <c r="L193" s="12" t="n"/>
      <c r="M193" s="11">
        <f>IF(A193="","",COUNTIF('Referral Log'!$C$4:$C$400,A193))</f>
        <v/>
      </c>
      <c r="N193" s="10" t="n"/>
    </row>
    <row r="194">
      <c r="A194" s="10" t="n"/>
      <c r="B194" s="10" t="n"/>
      <c r="C194" s="11">
        <f>IF(B194="","",IF(B194="Business broker","1 - Highest",IF(OR(B194="POS installer",B194="Bookkeeper / CPA"),"2 - High",IF(OR(B194="Liquor / food rep",B194="Consultant"),"3 - Strong",IF(B194="Other","5 - Other","4 - Good")))))</f>
        <v/>
      </c>
      <c r="D194" s="10" t="n"/>
      <c r="E194" s="10" t="n"/>
      <c r="F194" s="10" t="n"/>
      <c r="G194" s="10" t="n"/>
      <c r="H194" s="10" t="n"/>
      <c r="I194" s="10" t="n"/>
      <c r="J194" s="12" t="n"/>
      <c r="K194" s="10" t="n"/>
      <c r="L194" s="12" t="n"/>
      <c r="M194" s="11">
        <f>IF(A194="","",COUNTIF('Referral Log'!$C$4:$C$400,A194))</f>
        <v/>
      </c>
      <c r="N194" s="10" t="n"/>
    </row>
    <row r="195">
      <c r="A195" s="10" t="n"/>
      <c r="B195" s="10" t="n"/>
      <c r="C195" s="11">
        <f>IF(B195="","",IF(B195="Business broker","1 - Highest",IF(OR(B195="POS installer",B195="Bookkeeper / CPA"),"2 - High",IF(OR(B195="Liquor / food rep",B195="Consultant"),"3 - Strong",IF(B195="Other","5 - Other","4 - Good")))))</f>
        <v/>
      </c>
      <c r="D195" s="10" t="n"/>
      <c r="E195" s="10" t="n"/>
      <c r="F195" s="10" t="n"/>
      <c r="G195" s="10" t="n"/>
      <c r="H195" s="10" t="n"/>
      <c r="I195" s="10" t="n"/>
      <c r="J195" s="12" t="n"/>
      <c r="K195" s="10" t="n"/>
      <c r="L195" s="12" t="n"/>
      <c r="M195" s="11">
        <f>IF(A195="","",COUNTIF('Referral Log'!$C$4:$C$400,A195))</f>
        <v/>
      </c>
      <c r="N195" s="10" t="n"/>
    </row>
    <row r="196">
      <c r="A196" s="10" t="n"/>
      <c r="B196" s="10" t="n"/>
      <c r="C196" s="11">
        <f>IF(B196="","",IF(B196="Business broker","1 - Highest",IF(OR(B196="POS installer",B196="Bookkeeper / CPA"),"2 - High",IF(OR(B196="Liquor / food rep",B196="Consultant"),"3 - Strong",IF(B196="Other","5 - Other","4 - Good")))))</f>
        <v/>
      </c>
      <c r="D196" s="10" t="n"/>
      <c r="E196" s="10" t="n"/>
      <c r="F196" s="10" t="n"/>
      <c r="G196" s="10" t="n"/>
      <c r="H196" s="10" t="n"/>
      <c r="I196" s="10" t="n"/>
      <c r="J196" s="12" t="n"/>
      <c r="K196" s="10" t="n"/>
      <c r="L196" s="12" t="n"/>
      <c r="M196" s="11">
        <f>IF(A196="","",COUNTIF('Referral Log'!$C$4:$C$400,A196))</f>
        <v/>
      </c>
      <c r="N196" s="10" t="n"/>
    </row>
    <row r="197">
      <c r="A197" s="10" t="n"/>
      <c r="B197" s="10" t="n"/>
      <c r="C197" s="11">
        <f>IF(B197="","",IF(B197="Business broker","1 - Highest",IF(OR(B197="POS installer",B197="Bookkeeper / CPA"),"2 - High",IF(OR(B197="Liquor / food rep",B197="Consultant"),"3 - Strong",IF(B197="Other","5 - Other","4 - Good")))))</f>
        <v/>
      </c>
      <c r="D197" s="10" t="n"/>
      <c r="E197" s="10" t="n"/>
      <c r="F197" s="10" t="n"/>
      <c r="G197" s="10" t="n"/>
      <c r="H197" s="10" t="n"/>
      <c r="I197" s="10" t="n"/>
      <c r="J197" s="12" t="n"/>
      <c r="K197" s="10" t="n"/>
      <c r="L197" s="12" t="n"/>
      <c r="M197" s="11">
        <f>IF(A197="","",COUNTIF('Referral Log'!$C$4:$C$400,A197))</f>
        <v/>
      </c>
      <c r="N197" s="10" t="n"/>
    </row>
    <row r="198">
      <c r="A198" s="10" t="n"/>
      <c r="B198" s="10" t="n"/>
      <c r="C198" s="11">
        <f>IF(B198="","",IF(B198="Business broker","1 - Highest",IF(OR(B198="POS installer",B198="Bookkeeper / CPA"),"2 - High",IF(OR(B198="Liquor / food rep",B198="Consultant"),"3 - Strong",IF(B198="Other","5 - Other","4 - Good")))))</f>
        <v/>
      </c>
      <c r="D198" s="10" t="n"/>
      <c r="E198" s="10" t="n"/>
      <c r="F198" s="10" t="n"/>
      <c r="G198" s="10" t="n"/>
      <c r="H198" s="10" t="n"/>
      <c r="I198" s="10" t="n"/>
      <c r="J198" s="12" t="n"/>
      <c r="K198" s="10" t="n"/>
      <c r="L198" s="12" t="n"/>
      <c r="M198" s="11">
        <f>IF(A198="","",COUNTIF('Referral Log'!$C$4:$C$400,A198))</f>
        <v/>
      </c>
      <c r="N198" s="10" t="n"/>
    </row>
    <row r="199">
      <c r="A199" s="10" t="n"/>
      <c r="B199" s="10" t="n"/>
      <c r="C199" s="11">
        <f>IF(B199="","",IF(B199="Business broker","1 - Highest",IF(OR(B199="POS installer",B199="Bookkeeper / CPA"),"2 - High",IF(OR(B199="Liquor / food rep",B199="Consultant"),"3 - Strong",IF(B199="Other","5 - Other","4 - Good")))))</f>
        <v/>
      </c>
      <c r="D199" s="10" t="n"/>
      <c r="E199" s="10" t="n"/>
      <c r="F199" s="10" t="n"/>
      <c r="G199" s="10" t="n"/>
      <c r="H199" s="10" t="n"/>
      <c r="I199" s="10" t="n"/>
      <c r="J199" s="12" t="n"/>
      <c r="K199" s="10" t="n"/>
      <c r="L199" s="12" t="n"/>
      <c r="M199" s="11">
        <f>IF(A199="","",COUNTIF('Referral Log'!$C$4:$C$400,A199))</f>
        <v/>
      </c>
      <c r="N199" s="10" t="n"/>
    </row>
    <row r="200">
      <c r="A200" s="10" t="n"/>
      <c r="B200" s="10" t="n"/>
      <c r="C200" s="11">
        <f>IF(B200="","",IF(B200="Business broker","1 - Highest",IF(OR(B200="POS installer",B200="Bookkeeper / CPA"),"2 - High",IF(OR(B200="Liquor / food rep",B200="Consultant"),"3 - Strong",IF(B200="Other","5 - Other","4 - Good")))))</f>
        <v/>
      </c>
      <c r="D200" s="10" t="n"/>
      <c r="E200" s="10" t="n"/>
      <c r="F200" s="10" t="n"/>
      <c r="G200" s="10" t="n"/>
      <c r="H200" s="10" t="n"/>
      <c r="I200" s="10" t="n"/>
      <c r="J200" s="12" t="n"/>
      <c r="K200" s="10" t="n"/>
      <c r="L200" s="12" t="n"/>
      <c r="M200" s="11">
        <f>IF(A200="","",COUNTIF('Referral Log'!$C$4:$C$400,A200))</f>
        <v/>
      </c>
      <c r="N200" s="10" t="n"/>
    </row>
  </sheetData>
  <mergeCells count="1">
    <mergeCell ref="A1:N1"/>
  </mergeCells>
  <dataValidations count="2">
    <dataValidation sqref="B3:B200" showDropDown="0" showInputMessage="0" showErrorMessage="0" allowBlank="1" type="list">
      <formula1>"Business broker,POS installer,Bookkeeper / CPA,Liquor / food rep,Consultant,Commercial broker / landlord,Route vendor (linen, uniform, waste, pest),Other"</formula1>
    </dataValidation>
    <dataValidation sqref="I3:I200" showDropDown="0" showInputMessage="0" showErrorMessage="0" allowBlank="1" type="list">
      <formula1>"Not contacted,Contacted,Agreed to refer,Active - has sent one,Cold"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2">
      <c r="B2" s="13" t="inlineStr">
        <is>
          <t>Dashboard</t>
        </is>
      </c>
    </row>
    <row r="4">
      <c r="B4" s="14" t="inlineStr">
        <is>
          <t>Week 1 start (Monday):</t>
        </is>
      </c>
      <c r="D4" s="15" t="n"/>
      <c r="E4" s="16" t="inlineStr">
        <is>
          <t>← set this first; every week below is calculated from it</t>
        </is>
      </c>
    </row>
    <row r="6" ht="30" customHeight="1">
      <c r="A6" s="6" t="inlineStr"/>
      <c r="B6" s="6" t="inlineStr">
        <is>
          <t>Week</t>
        </is>
      </c>
      <c r="C6" s="6" t="inlineStr">
        <is>
          <t>Start</t>
        </is>
      </c>
      <c r="D6" s="6" t="inlineStr">
        <is>
          <t>End</t>
        </is>
      </c>
      <c r="E6" s="6" t="inlineStr">
        <is>
          <t>Convos tgt</t>
        </is>
      </c>
      <c r="F6" s="6" t="inlineStr">
        <is>
          <t>Convos</t>
        </is>
      </c>
      <c r="G6" s="6" t="inlineStr">
        <is>
          <t>Refs tgt</t>
        </is>
      </c>
      <c r="H6" s="6" t="inlineStr">
        <is>
          <t>Refs</t>
        </is>
      </c>
      <c r="I6" s="6" t="inlineStr">
        <is>
          <t>Names tgt</t>
        </is>
      </c>
      <c r="J6" s="6" t="inlineStr">
        <is>
          <t>Names</t>
        </is>
      </c>
    </row>
    <row r="7">
      <c r="B7" s="17" t="inlineStr">
        <is>
          <t>Week 1 — Build</t>
        </is>
      </c>
      <c r="C7" s="18">
        <f>IF($D$4="","",$D$4+0)</f>
        <v/>
      </c>
      <c r="D7" s="18">
        <f>IF($D$4="","",$D$4+6)</f>
        <v/>
      </c>
      <c r="E7" s="17" t="n">
        <v>12</v>
      </c>
      <c r="F7" s="19">
        <f>IF($D$4="","",COUNTIFS('Call Log'!$A$4:$A$600,"&gt;="&amp;$C7,'Call Log'!$A$4:$A$600,"&lt;="&amp;$D7,'Call Log'!$E$4:$E$600,"Conversation"))</f>
        <v/>
      </c>
      <c r="G7" s="17" t="n">
        <v>3</v>
      </c>
      <c r="H7" s="19">
        <f>IF($D$4="","",COUNTIFS('Referral Log'!$A$4:$A$400,"&gt;="&amp;$C7,'Referral Log'!$A$4:$A$400,"&lt;="&amp;$D7))</f>
        <v/>
      </c>
      <c r="I7" s="17" t="n">
        <v>5</v>
      </c>
      <c r="J7" s="19">
        <f>IF($D$4="","",SUMIFS('Call Log'!$G$4:$G$600,'Call Log'!$A$4:$A$600,"&gt;="&amp;$C7,'Call Log'!$A$4:$A$600,"&lt;="&amp;$D7))</f>
        <v/>
      </c>
    </row>
    <row r="8">
      <c r="B8" s="17" t="inlineStr">
        <is>
          <t>Week 2 — Widen</t>
        </is>
      </c>
      <c r="C8" s="18">
        <f>IF($D$4="","",$D$4+7)</f>
        <v/>
      </c>
      <c r="D8" s="18">
        <f>IF($D$4="","",$D$4+13)</f>
        <v/>
      </c>
      <c r="E8" s="17" t="n">
        <v>20</v>
      </c>
      <c r="F8" s="19">
        <f>IF($D$4="","",COUNTIFS('Call Log'!$A$4:$A$600,"&gt;="&amp;$C8,'Call Log'!$A$4:$A$600,"&lt;="&amp;$D8,'Call Log'!$E$4:$E$600,"Conversation"))</f>
        <v/>
      </c>
      <c r="G8" s="17" t="n">
        <v>5</v>
      </c>
      <c r="H8" s="19">
        <f>IF($D$4="","",COUNTIFS('Referral Log'!$A$4:$A$400,"&gt;="&amp;$C8,'Referral Log'!$A$4:$A$400,"&lt;="&amp;$D8))</f>
        <v/>
      </c>
      <c r="I8" s="17" t="n">
        <v>10</v>
      </c>
      <c r="J8" s="19">
        <f>IF($D$4="","",SUMIFS('Call Log'!$G$4:$G$600,'Call Log'!$A$4:$A$600,"&gt;="&amp;$C8,'Call Log'!$A$4:$A$600,"&lt;="&amp;$D8))</f>
        <v/>
      </c>
    </row>
    <row r="9">
      <c r="B9" s="17" t="inlineStr">
        <is>
          <t>Week 3 — Vendors</t>
        </is>
      </c>
      <c r="C9" s="18">
        <f>IF($D$4="","",$D$4+14)</f>
        <v/>
      </c>
      <c r="D9" s="18">
        <f>IF($D$4="","",$D$4+20)</f>
        <v/>
      </c>
      <c r="E9" s="17" t="n">
        <v>20</v>
      </c>
      <c r="F9" s="19">
        <f>IF($D$4="","",COUNTIFS('Call Log'!$A$4:$A$600,"&gt;="&amp;$C9,'Call Log'!$A$4:$A$600,"&lt;="&amp;$D9,'Call Log'!$E$4:$E$600,"Conversation"))</f>
        <v/>
      </c>
      <c r="G9" s="17" t="n">
        <v>5</v>
      </c>
      <c r="H9" s="19">
        <f>IF($D$4="","",COUNTIFS('Referral Log'!$A$4:$A$400,"&gt;="&amp;$C9,'Referral Log'!$A$4:$A$400,"&lt;="&amp;$D9))</f>
        <v/>
      </c>
      <c r="I9" s="17" t="inlineStr">
        <is>
          <t>—</t>
        </is>
      </c>
      <c r="J9" s="19">
        <f>IF($D$4="","",SUMIFS('Call Log'!$G$4:$G$600,'Call Log'!$A$4:$A$600,"&gt;="&amp;$C9,'Call Log'!$A$4:$A$600,"&lt;="&amp;$D9))</f>
        <v/>
      </c>
    </row>
    <row r="10">
      <c r="B10" s="17" t="inlineStr">
        <is>
          <t>Week 4 — Compound</t>
        </is>
      </c>
      <c r="C10" s="18">
        <f>IF($D$4="","",$D$4+21)</f>
        <v/>
      </c>
      <c r="D10" s="18">
        <f>IF($D$4="","",$D$4+27)</f>
        <v/>
      </c>
      <c r="E10" s="17" t="n">
        <v>20</v>
      </c>
      <c r="F10" s="19">
        <f>IF($D$4="","",COUNTIFS('Call Log'!$A$4:$A$600,"&gt;="&amp;$C10,'Call Log'!$A$4:$A$600,"&lt;="&amp;$D10,'Call Log'!$E$4:$E$600,"Conversation"))</f>
        <v/>
      </c>
      <c r="G10" s="17" t="n">
        <v>7</v>
      </c>
      <c r="H10" s="19">
        <f>IF($D$4="","",COUNTIFS('Referral Log'!$A$4:$A$400,"&gt;="&amp;$C10,'Referral Log'!$A$4:$A$400,"&lt;="&amp;$D10))</f>
        <v/>
      </c>
      <c r="I10" s="17" t="inlineStr">
        <is>
          <t>—</t>
        </is>
      </c>
      <c r="J10" s="19">
        <f>IF($D$4="","",SUMIFS('Call Log'!$G$4:$G$600,'Call Log'!$A$4:$A$600,"&gt;="&amp;$C10,'Call Log'!$A$4:$A$600,"&lt;="&amp;$D10))</f>
        <v/>
      </c>
    </row>
    <row r="13">
      <c r="B13" s="20" t="inlineStr">
        <is>
          <t>Month 1</t>
        </is>
      </c>
    </row>
    <row r="14">
      <c r="B14" s="21" t="inlineStr">
        <is>
          <t>Conversations</t>
        </is>
      </c>
      <c r="D14" s="22">
        <f>SUM(F7:F10)</f>
        <v/>
      </c>
      <c r="E14" s="16" t="inlineStr">
        <is>
          <t>60-70 is a good month</t>
        </is>
      </c>
    </row>
    <row r="15">
      <c r="B15" s="21" t="inlineStr">
        <is>
          <t>Referrals sent</t>
        </is>
      </c>
      <c r="D15" s="22">
        <f>SUM(H7:H10)</f>
        <v/>
      </c>
      <c r="E15" s="16" t="inlineStr">
        <is>
          <t>18-20</t>
        </is>
      </c>
    </row>
    <row r="16">
      <c r="B16" s="21" t="inlineStr">
        <is>
          <t>Accounts closed</t>
        </is>
      </c>
      <c r="D16" s="22">
        <f>COUNTIF('Referral Log'!$I$4:$I$400,"Closed won")</f>
        <v/>
      </c>
      <c r="E16" s="16" t="inlineStr">
        <is>
          <t>2-4</t>
        </is>
      </c>
    </row>
    <row r="17">
      <c r="B17" s="21" t="inlineStr">
        <is>
          <t>Names harvested</t>
        </is>
      </c>
      <c r="D17" s="22">
        <f>SUM(J7:J10)</f>
        <v/>
      </c>
      <c r="E17" s="16" t="inlineStr">
        <is>
          <t>feeds Tier 4</t>
        </is>
      </c>
    </row>
    <row r="18">
      <c r="B18" s="21" t="inlineStr">
        <is>
          <t>Tier 4 names on list</t>
        </is>
      </c>
      <c r="D18" s="22">
        <f>COUNTIF('Reconnect Sprint'!$D$4:$D$400,"4 - Harvested referral")</f>
        <v/>
      </c>
      <c r="E18" s="16" t="inlineStr">
        <is>
          <t>if this stays 0, you aren't asking the referral question</t>
        </is>
      </c>
    </row>
    <row r="19">
      <c r="B19" s="21" t="inlineStr">
        <is>
          <t>Referral question asked</t>
        </is>
      </c>
      <c r="D19" s="23">
        <f>IF(COUNTIF('Call Log'!$F$4:$F$600,"Y")+COUNTIF('Call Log'!$F$4:$F$600,"N")=0,"",COUNTIF('Call Log'!$F$4:$F$600,"Y")/(COUNTIF('Call Log'!$F$4:$F$600,"Y")+COUNTIF('Call Log'!$F$4:$F$600,"N")))</f>
        <v/>
      </c>
      <c r="E19" s="16" t="inlineStr">
        <is>
          <t>aim for 100%</t>
        </is>
      </c>
    </row>
    <row r="20">
      <c r="B20" s="21" t="inlineStr">
        <is>
          <t>Active referral partners</t>
        </is>
      </c>
      <c r="D20" s="22">
        <f>COUNTIF('Referral Partners'!$I$4:$I$200,"Active - has sent one")</f>
        <v/>
      </c>
      <c r="E20" s="16" t="inlineStr">
        <is>
          <t>people who have actually sent you someone</t>
        </is>
      </c>
    </row>
    <row r="21">
      <c r="B21" s="21" t="inlineStr">
        <is>
          <t>From outside the warm list</t>
        </is>
      </c>
      <c r="D21" s="23">
        <f>IF(COUNTA('Referral Log'!$B$4:$B$400)=0,"",COUNTIFS('Referral Log'!$B$4:$B$400,"&lt;&gt;Warm list",'Referral Log'!$B$4:$B$400,"&lt;&gt;")/COUNTA('Referral Log'!$B$4:$B$400))</f>
        <v/>
      </c>
      <c r="E21" s="16" t="inlineStr">
        <is>
          <t>zero in month one is fine; still zero at month four means nothing replaced the list</t>
        </is>
      </c>
    </row>
    <row r="23">
      <c r="B23" s="24" t="inlineStr">
        <is>
          <t>Judge month one against the range above, not against $10k. Clay's first residual was $32.62; Jeremy's was $100.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2026-09-14T19:15:25Z</dcterms:created>
  <dcterms:modified xsi:type="dcterms:W3CDTF">2026-09-14T19:15:26Z</dcterms:modified>
</cp:coreProperties>
</file>